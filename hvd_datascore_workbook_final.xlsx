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coreCal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HVD DataScore Template</t>
        </is>
      </c>
    </row>
    <row r="3">
      <c r="A3" t="inlineStr">
        <is>
          <t>Formål:</t>
        </is>
      </c>
    </row>
    <row r="4">
      <c r="A4" t="inlineStr">
        <is>
          <t>Denne fil bruges til at samle submissions fra HVD diagnoseformularen, beregne en DataScore og klassificere sager som High/Medium/Low.</t>
        </is>
      </c>
    </row>
    <row r="6">
      <c r="A6" t="inlineStr">
        <is>
          <t>Dato:</t>
        </is>
      </c>
      <c r="B6" t="inlineStr">
        <is>
          <t>2025-11-27</t>
        </is>
      </c>
    </row>
    <row r="8">
      <c r="A8" t="inlineStr">
        <is>
          <t>Arkoversigt:</t>
        </is>
      </c>
    </row>
    <row r="9">
      <c r="A9" t="inlineStr">
        <is>
          <t>Raw_Data – indsæt eller importér alle formularsvar her (en række pr. sag)</t>
        </is>
      </c>
    </row>
    <row r="10">
      <c r="A10" t="inlineStr">
        <is>
          <t>ScoreCalc – beregner DataScore og kategori ud fra felterne i Raw_Data</t>
        </is>
      </c>
    </row>
    <row r="11">
      <c r="A11" t="inlineStr">
        <is>
          <t>Summary – giver et hurtigt overblik over antal sager i hver kategori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Værksted</t>
        </is>
      </c>
      <c r="B1" s="2" t="inlineStr">
        <is>
          <t>Kontaktperson</t>
        </is>
      </c>
      <c r="C1" s="2" t="inlineStr">
        <is>
          <t>E-mail</t>
        </is>
      </c>
      <c r="D1" s="2" t="inlineStr">
        <is>
          <t>VIN</t>
        </is>
      </c>
      <c r="E1" s="2" t="inlineStr">
        <is>
          <t>Mærke</t>
        </is>
      </c>
      <c r="F1" s="2" t="inlineStr">
        <is>
          <t>Model</t>
        </is>
      </c>
      <c r="G1" s="2" t="inlineStr">
        <is>
          <t>Årgang</t>
        </is>
      </c>
      <c r="H1" s="2" t="inlineStr">
        <is>
          <t>Kilometer</t>
        </is>
      </c>
      <c r="I1" s="2" t="inlineStr">
        <is>
          <t>Brændstof</t>
        </is>
      </c>
      <c r="J1" s="2" t="inlineStr">
        <is>
          <t>Gearkasse</t>
        </is>
      </c>
      <c r="K1" s="2" t="inlineStr">
        <is>
          <t>Marked</t>
        </is>
      </c>
      <c r="L1" s="2" t="inlineStr">
        <is>
          <t>Symptombeskrivelse</t>
        </is>
      </c>
      <c r="M1" s="2" t="inlineStr">
        <is>
          <t>DTC &amp; Freeze frames</t>
        </is>
      </c>
      <c r="N1" s="2" t="inlineStr">
        <is>
          <t>Logs</t>
        </is>
      </c>
      <c r="O1" s="2" t="inlineStr">
        <is>
          <t>Foto/Video</t>
        </is>
      </c>
      <c r="P1" s="2" t="inlineStr">
        <is>
          <t>Historik</t>
        </is>
      </c>
      <c r="Q1" s="2" t="inlineStr">
        <is>
          <t>Udstyr/Kompetencer</t>
        </is>
      </c>
      <c r="R1" s="2" t="inlineStr">
        <is>
          <t>Prioritet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Værksted</t>
        </is>
      </c>
      <c r="B1" s="2" t="inlineStr">
        <is>
          <t>Kontaktperson</t>
        </is>
      </c>
      <c r="C1" s="2" t="inlineStr">
        <is>
          <t>E-mail</t>
        </is>
      </c>
      <c r="D1" s="2" t="inlineStr">
        <is>
          <t>VIN</t>
        </is>
      </c>
      <c r="E1" s="2" t="inlineStr">
        <is>
          <t>Mærke</t>
        </is>
      </c>
      <c r="F1" s="2" t="inlineStr">
        <is>
          <t>Model</t>
        </is>
      </c>
      <c r="G1" s="2" t="inlineStr">
        <is>
          <t>Årgang</t>
        </is>
      </c>
      <c r="H1" s="2" t="inlineStr">
        <is>
          <t>Kilometer</t>
        </is>
      </c>
      <c r="I1" s="2" t="inlineStr">
        <is>
          <t>Brændstof</t>
        </is>
      </c>
      <c r="J1" s="2" t="inlineStr">
        <is>
          <t>Gearkasse</t>
        </is>
      </c>
      <c r="K1" s="2" t="inlineStr">
        <is>
          <t>Marked</t>
        </is>
      </c>
      <c r="L1" s="2" t="inlineStr">
        <is>
          <t>Symptombeskrivelse</t>
        </is>
      </c>
      <c r="M1" s="2" t="inlineStr">
        <is>
          <t>DTC &amp; Freeze frames</t>
        </is>
      </c>
      <c r="N1" s="2" t="inlineStr">
        <is>
          <t>Logs</t>
        </is>
      </c>
      <c r="O1" s="2" t="inlineStr">
        <is>
          <t>Foto/Video</t>
        </is>
      </c>
      <c r="P1" s="2" t="inlineStr">
        <is>
          <t>Historik</t>
        </is>
      </c>
      <c r="Q1" s="2" t="inlineStr">
        <is>
          <t>Udstyr/Kompetencer</t>
        </is>
      </c>
      <c r="R1" s="2" t="inlineStr">
        <is>
          <t>Prioritet</t>
        </is>
      </c>
      <c r="S1" s="2" t="inlineStr">
        <is>
          <t>DataScore</t>
        </is>
      </c>
      <c r="T1" s="2" t="inlineStr">
        <is>
          <t>Kategori</t>
        </is>
      </c>
    </row>
    <row r="2">
      <c r="A2">
        <f>Raw_Data!A2</f>
        <v/>
      </c>
      <c r="B2">
        <f>Raw_Data!B2</f>
        <v/>
      </c>
      <c r="C2">
        <f>Raw_Data!C2</f>
        <v/>
      </c>
      <c r="D2">
        <f>Raw_Data!D2</f>
        <v/>
      </c>
      <c r="E2">
        <f>Raw_Data!E2</f>
        <v/>
      </c>
      <c r="F2">
        <f>Raw_Data!F2</f>
        <v/>
      </c>
      <c r="G2">
        <f>Raw_Data!G2</f>
        <v/>
      </c>
      <c r="H2">
        <f>Raw_Data!H2</f>
        <v/>
      </c>
      <c r="I2">
        <f>Raw_Data!I2</f>
        <v/>
      </c>
      <c r="J2">
        <f>Raw_Data!J2</f>
        <v/>
      </c>
      <c r="K2">
        <f>Raw_Data!K2</f>
        <v/>
      </c>
      <c r="L2">
        <f>Raw_Data!L2</f>
        <v/>
      </c>
      <c r="M2">
        <f>Raw_Data!M2</f>
        <v/>
      </c>
      <c r="N2">
        <f>Raw_Data!N2</f>
        <v/>
      </c>
      <c r="O2">
        <f>Raw_Data!O2</f>
        <v/>
      </c>
      <c r="P2">
        <f>Raw_Data!P2</f>
        <v/>
      </c>
      <c r="Q2">
        <f>Raw_Data!Q2</f>
        <v/>
      </c>
      <c r="R2">
        <f>Raw_Data!R2</f>
        <v/>
      </c>
      <c r="S2">
        <f>ROUND(30*COUNTA($D2:$K2)/8 + IF($M2&lt;&gt;"",20,0) + IF($N2&lt;&gt;"",20,0) + IF($O2&lt;&gt;"",15,0) + IF($L2&lt;&gt;"",10,0) + IF($P2&lt;&gt;"",5,0), 0)</f>
        <v/>
      </c>
      <c r="T2">
        <f>IF($S2&gt;=70,"High",IF($S2&gt;=40,"Medium","Low"))</f>
        <v/>
      </c>
    </row>
    <row r="3">
      <c r="S3">
        <f>ROUND(30*COUNTA($D3:$K3)/8 + IF($M3&lt;&gt;"",20,0) + IF($N3&lt;&gt;"",20,0) + IF($O3&lt;&gt;"",15,0) + IF($L3&lt;&gt;"",10,0) + IF($P3&lt;&gt;"",5,0), 0)</f>
        <v/>
      </c>
      <c r="T3">
        <f>IF($S3&gt;=70,"High",IF($S3&gt;=40,"Medium","Low"))</f>
        <v/>
      </c>
    </row>
    <row r="4">
      <c r="S4">
        <f>ROUND(30*COUNTA($D4:$K4)/8 + IF($M4&lt;&gt;"",20,0) + IF($N4&lt;&gt;"",20,0) + IF($O4&lt;&gt;"",15,0) + IF($L4&lt;&gt;"",10,0) + IF($P4&lt;&gt;"",5,0), 0)</f>
        <v/>
      </c>
      <c r="T4">
        <f>IF($S4&gt;=70,"High",IF($S4&gt;=40,"Medium","Low"))</f>
        <v/>
      </c>
    </row>
    <row r="5">
      <c r="S5">
        <f>ROUND(30*COUNTA($D5:$K5)/8 + IF($M5&lt;&gt;"",20,0) + IF($N5&lt;&gt;"",20,0) + IF($O5&lt;&gt;"",15,0) + IF($L5&lt;&gt;"",10,0) + IF($P5&lt;&gt;"",5,0), 0)</f>
        <v/>
      </c>
      <c r="T5">
        <f>IF($S5&gt;=70,"High",IF($S5&gt;=40,"Medium","Low"))</f>
        <v/>
      </c>
    </row>
    <row r="6">
      <c r="S6">
        <f>ROUND(30*COUNTA($D6:$K6)/8 + IF($M6&lt;&gt;"",20,0) + IF($N6&lt;&gt;"",20,0) + IF($O6&lt;&gt;"",15,0) + IF($L6&lt;&gt;"",10,0) + IF($P6&lt;&gt;"",5,0), 0)</f>
        <v/>
      </c>
      <c r="T6">
        <f>IF($S6&gt;=70,"High",IF($S6&gt;=40,"Medium","Low"))</f>
        <v/>
      </c>
    </row>
    <row r="7">
      <c r="S7">
        <f>ROUND(30*COUNTA($D7:$K7)/8 + IF($M7&lt;&gt;"",20,0) + IF($N7&lt;&gt;"",20,0) + IF($O7&lt;&gt;"",15,0) + IF($L7&lt;&gt;"",10,0) + IF($P7&lt;&gt;"",5,0), 0)</f>
        <v/>
      </c>
      <c r="T7">
        <f>IF($S7&gt;=70,"High",IF($S7&gt;=40,"Medium","Low"))</f>
        <v/>
      </c>
    </row>
    <row r="8">
      <c r="S8">
        <f>ROUND(30*COUNTA($D8:$K8)/8 + IF($M8&lt;&gt;"",20,0) + IF($N8&lt;&gt;"",20,0) + IF($O8&lt;&gt;"",15,0) + IF($L8&lt;&gt;"",10,0) + IF($P8&lt;&gt;"",5,0), 0)</f>
        <v/>
      </c>
      <c r="T8">
        <f>IF($S8&gt;=70,"High",IF($S8&gt;=40,"Medium","Low"))</f>
        <v/>
      </c>
    </row>
    <row r="9">
      <c r="S9">
        <f>ROUND(30*COUNTA($D9:$K9)/8 + IF($M9&lt;&gt;"",20,0) + IF($N9&lt;&gt;"",20,0) + IF($O9&lt;&gt;"",15,0) + IF($L9&lt;&gt;"",10,0) + IF($P9&lt;&gt;"",5,0), 0)</f>
        <v/>
      </c>
      <c r="T9">
        <f>IF($S9&gt;=70,"High",IF($S9&gt;=40,"Medium","Low"))</f>
        <v/>
      </c>
    </row>
    <row r="10">
      <c r="S10">
        <f>ROUND(30*COUNTA($D10:$K10)/8 + IF($M10&lt;&gt;"",20,0) + IF($N10&lt;&gt;"",20,0) + IF($O10&lt;&gt;"",15,0) + IF($L10&lt;&gt;"",10,0) + IF($P10&lt;&gt;"",5,0), 0)</f>
        <v/>
      </c>
      <c r="T10">
        <f>IF($S10&gt;=70,"High",IF($S10&gt;=40,"Medium","Low"))</f>
        <v/>
      </c>
    </row>
    <row r="11">
      <c r="S11">
        <f>ROUND(30*COUNTA($D11:$K11)/8 + IF($M11&lt;&gt;"",20,0) + IF($N11&lt;&gt;"",20,0) + IF($O11&lt;&gt;"",15,0) + IF($L11&lt;&gt;"",10,0) + IF($P11&lt;&gt;"",5,0), 0)</f>
        <v/>
      </c>
      <c r="T11">
        <f>IF($S11&gt;=70,"High",IF($S11&gt;=40,"Medium","Low"))</f>
        <v/>
      </c>
    </row>
    <row r="12">
      <c r="S12">
        <f>ROUND(30*COUNTA($D12:$K12)/8 + IF($M12&lt;&gt;"",20,0) + IF($N12&lt;&gt;"",20,0) + IF($O12&lt;&gt;"",15,0) + IF($L12&lt;&gt;"",10,0) + IF($P12&lt;&gt;"",5,0), 0)</f>
        <v/>
      </c>
      <c r="T12">
        <f>IF($S12&gt;=70,"High",IF($S12&gt;=40,"Medium","Low"))</f>
        <v/>
      </c>
    </row>
    <row r="13">
      <c r="S13">
        <f>ROUND(30*COUNTA($D13:$K13)/8 + IF($M13&lt;&gt;"",20,0) + IF($N13&lt;&gt;"",20,0) + IF($O13&lt;&gt;"",15,0) + IF($L13&lt;&gt;"",10,0) + IF($P13&lt;&gt;"",5,0), 0)</f>
        <v/>
      </c>
      <c r="T13">
        <f>IF($S13&gt;=70,"High",IF($S13&gt;=40,"Medium","Low"))</f>
        <v/>
      </c>
    </row>
    <row r="14">
      <c r="S14">
        <f>ROUND(30*COUNTA($D14:$K14)/8 + IF($M14&lt;&gt;"",20,0) + IF($N14&lt;&gt;"",20,0) + IF($O14&lt;&gt;"",15,0) + IF($L14&lt;&gt;"",10,0) + IF($P14&lt;&gt;"",5,0), 0)</f>
        <v/>
      </c>
      <c r="T14">
        <f>IF($S14&gt;=70,"High",IF($S14&gt;=40,"Medium","Low"))</f>
        <v/>
      </c>
    </row>
    <row r="15">
      <c r="S15">
        <f>ROUND(30*COUNTA($D15:$K15)/8 + IF($M15&lt;&gt;"",20,0) + IF($N15&lt;&gt;"",20,0) + IF($O15&lt;&gt;"",15,0) + IF($L15&lt;&gt;"",10,0) + IF($P15&lt;&gt;"",5,0), 0)</f>
        <v/>
      </c>
      <c r="T15">
        <f>IF($S15&gt;=70,"High",IF($S15&gt;=40,"Medium","Low"))</f>
        <v/>
      </c>
    </row>
    <row r="16">
      <c r="S16">
        <f>ROUND(30*COUNTA($D16:$K16)/8 + IF($M16&lt;&gt;"",20,0) + IF($N16&lt;&gt;"",20,0) + IF($O16&lt;&gt;"",15,0) + IF($L16&lt;&gt;"",10,0) + IF($P16&lt;&gt;"",5,0), 0)</f>
        <v/>
      </c>
      <c r="T16">
        <f>IF($S16&gt;=70,"High",IF($S16&gt;=40,"Medium","Low"))</f>
        <v/>
      </c>
    </row>
    <row r="17">
      <c r="S17">
        <f>ROUND(30*COUNTA($D17:$K17)/8 + IF($M17&lt;&gt;"",20,0) + IF($N17&lt;&gt;"",20,0) + IF($O17&lt;&gt;"",15,0) + IF($L17&lt;&gt;"",10,0) + IF($P17&lt;&gt;"",5,0), 0)</f>
        <v/>
      </c>
      <c r="T17">
        <f>IF($S17&gt;=70,"High",IF($S17&gt;=40,"Medium","Low"))</f>
        <v/>
      </c>
    </row>
    <row r="18">
      <c r="S18">
        <f>ROUND(30*COUNTA($D18:$K18)/8 + IF($M18&lt;&gt;"",20,0) + IF($N18&lt;&gt;"",20,0) + IF($O18&lt;&gt;"",15,0) + IF($L18&lt;&gt;"",10,0) + IF($P18&lt;&gt;"",5,0), 0)</f>
        <v/>
      </c>
      <c r="T18">
        <f>IF($S18&gt;=70,"High",IF($S18&gt;=40,"Medium","Low"))</f>
        <v/>
      </c>
    </row>
    <row r="19">
      <c r="S19">
        <f>ROUND(30*COUNTA($D19:$K19)/8 + IF($M19&lt;&gt;"",20,0) + IF($N19&lt;&gt;"",20,0) + IF($O19&lt;&gt;"",15,0) + IF($L19&lt;&gt;"",10,0) + IF($P19&lt;&gt;"",5,0), 0)</f>
        <v/>
      </c>
      <c r="T19">
        <f>IF($S19&gt;=70,"High",IF($S19&gt;=40,"Medium","Low"))</f>
        <v/>
      </c>
    </row>
    <row r="20">
      <c r="S20">
        <f>ROUND(30*COUNTA($D20:$K20)/8 + IF($M20&lt;&gt;"",20,0) + IF($N20&lt;&gt;"",20,0) + IF($O20&lt;&gt;"",15,0) + IF($L20&lt;&gt;"",10,0) + IF($P20&lt;&gt;"",5,0), 0)</f>
        <v/>
      </c>
      <c r="T20">
        <f>IF($S20&gt;=70,"High",IF($S20&gt;=40,"Medium","Low"))</f>
        <v/>
      </c>
    </row>
    <row r="21">
      <c r="S21">
        <f>ROUND(30*COUNTA($D21:$K21)/8 + IF($M21&lt;&gt;"",20,0) + IF($N21&lt;&gt;"",20,0) + IF($O21&lt;&gt;"",15,0) + IF($L21&lt;&gt;"",10,0) + IF($P21&lt;&gt;"",5,0), 0)</f>
        <v/>
      </c>
      <c r="T21">
        <f>IF($S21&gt;=70,"High",IF($S21&gt;=40,"Medium","Low"))</f>
        <v/>
      </c>
    </row>
    <row r="22">
      <c r="S22">
        <f>ROUND(30*COUNTA($D22:$K22)/8 + IF($M22&lt;&gt;"",20,0) + IF($N22&lt;&gt;"",20,0) + IF($O22&lt;&gt;"",15,0) + IF($L22&lt;&gt;"",10,0) + IF($P22&lt;&gt;"",5,0), 0)</f>
        <v/>
      </c>
      <c r="T22">
        <f>IF($S22&gt;=70,"High",IF($S22&gt;=40,"Medium","Low"))</f>
        <v/>
      </c>
    </row>
    <row r="23">
      <c r="S23">
        <f>ROUND(30*COUNTA($D23:$K23)/8 + IF($M23&lt;&gt;"",20,0) + IF($N23&lt;&gt;"",20,0) + IF($O23&lt;&gt;"",15,0) + IF($L23&lt;&gt;"",10,0) + IF($P23&lt;&gt;"",5,0), 0)</f>
        <v/>
      </c>
      <c r="T23">
        <f>IF($S23&gt;=70,"High",IF($S23&gt;=40,"Medium","Low"))</f>
        <v/>
      </c>
    </row>
    <row r="24">
      <c r="S24">
        <f>ROUND(30*COUNTA($D24:$K24)/8 + IF($M24&lt;&gt;"",20,0) + IF($N24&lt;&gt;"",20,0) + IF($O24&lt;&gt;"",15,0) + IF($L24&lt;&gt;"",10,0) + IF($P24&lt;&gt;"",5,0), 0)</f>
        <v/>
      </c>
      <c r="T24">
        <f>IF($S24&gt;=70,"High",IF($S24&gt;=40,"Medium","Low"))</f>
        <v/>
      </c>
    </row>
    <row r="25">
      <c r="S25">
        <f>ROUND(30*COUNTA($D25:$K25)/8 + IF($M25&lt;&gt;"",20,0) + IF($N25&lt;&gt;"",20,0) + IF($O25&lt;&gt;"",15,0) + IF($L25&lt;&gt;"",10,0) + IF($P25&lt;&gt;"",5,0), 0)</f>
        <v/>
      </c>
      <c r="T25">
        <f>IF($S25&gt;=70,"High",IF($S25&gt;=40,"Medium","Low"))</f>
        <v/>
      </c>
    </row>
    <row r="26">
      <c r="S26">
        <f>ROUND(30*COUNTA($D26:$K26)/8 + IF($M26&lt;&gt;"",20,0) + IF($N26&lt;&gt;"",20,0) + IF($O26&lt;&gt;"",15,0) + IF($L26&lt;&gt;"",10,0) + IF($P26&lt;&gt;"",5,0), 0)</f>
        <v/>
      </c>
      <c r="T26">
        <f>IF($S26&gt;=70,"High",IF($S26&gt;=40,"Medium","Low"))</f>
        <v/>
      </c>
    </row>
    <row r="27">
      <c r="S27">
        <f>ROUND(30*COUNTA($D27:$K27)/8 + IF($M27&lt;&gt;"",20,0) + IF($N27&lt;&gt;"",20,0) + IF($O27&lt;&gt;"",15,0) + IF($L27&lt;&gt;"",10,0) + IF($P27&lt;&gt;"",5,0), 0)</f>
        <v/>
      </c>
      <c r="T27">
        <f>IF($S27&gt;=70,"High",IF($S27&gt;=40,"Medium","Low"))</f>
        <v/>
      </c>
    </row>
    <row r="28">
      <c r="S28">
        <f>ROUND(30*COUNTA($D28:$K28)/8 + IF($M28&lt;&gt;"",20,0) + IF($N28&lt;&gt;"",20,0) + IF($O28&lt;&gt;"",15,0) + IF($L28&lt;&gt;"",10,0) + IF($P28&lt;&gt;"",5,0), 0)</f>
        <v/>
      </c>
      <c r="T28">
        <f>IF($S28&gt;=70,"High",IF($S28&gt;=40,"Medium","Low"))</f>
        <v/>
      </c>
    </row>
    <row r="29">
      <c r="S29">
        <f>ROUND(30*COUNTA($D29:$K29)/8 + IF($M29&lt;&gt;"",20,0) + IF($N29&lt;&gt;"",20,0) + IF($O29&lt;&gt;"",15,0) + IF($L29&lt;&gt;"",10,0) + IF($P29&lt;&gt;"",5,0), 0)</f>
        <v/>
      </c>
      <c r="T29">
        <f>IF($S29&gt;=70,"High",IF($S29&gt;=40,"Medium","Low"))</f>
        <v/>
      </c>
    </row>
    <row r="30">
      <c r="S30">
        <f>ROUND(30*COUNTA($D30:$K30)/8 + IF($M30&lt;&gt;"",20,0) + IF($N30&lt;&gt;"",20,0) + IF($O30&lt;&gt;"",15,0) + IF($L30&lt;&gt;"",10,0) + IF($P30&lt;&gt;"",5,0), 0)</f>
        <v/>
      </c>
      <c r="T30">
        <f>IF($S30&gt;=70,"High",IF($S30&gt;=40,"Medium","Low"))</f>
        <v/>
      </c>
    </row>
    <row r="31">
      <c r="S31">
        <f>ROUND(30*COUNTA($D31:$K31)/8 + IF($M31&lt;&gt;"",20,0) + IF($N31&lt;&gt;"",20,0) + IF($O31&lt;&gt;"",15,0) + IF($L31&lt;&gt;"",10,0) + IF($P31&lt;&gt;"",5,0), 0)</f>
        <v/>
      </c>
      <c r="T31">
        <f>IF($S31&gt;=70,"High",IF($S31&gt;=40,"Medium","Low"))</f>
        <v/>
      </c>
    </row>
    <row r="32">
      <c r="S32">
        <f>ROUND(30*COUNTA($D32:$K32)/8 + IF($M32&lt;&gt;"",20,0) + IF($N32&lt;&gt;"",20,0) + IF($O32&lt;&gt;"",15,0) + IF($L32&lt;&gt;"",10,0) + IF($P32&lt;&gt;"",5,0), 0)</f>
        <v/>
      </c>
      <c r="T32">
        <f>IF($S32&gt;=70,"High",IF($S32&gt;=40,"Medium","Low"))</f>
        <v/>
      </c>
    </row>
    <row r="33">
      <c r="S33">
        <f>ROUND(30*COUNTA($D33:$K33)/8 + IF($M33&lt;&gt;"",20,0) + IF($N33&lt;&gt;"",20,0) + IF($O33&lt;&gt;"",15,0) + IF($L33&lt;&gt;"",10,0) + IF($P33&lt;&gt;"",5,0), 0)</f>
        <v/>
      </c>
      <c r="T33">
        <f>IF($S33&gt;=70,"High",IF($S33&gt;=40,"Medium","Low"))</f>
        <v/>
      </c>
    </row>
    <row r="34">
      <c r="S34">
        <f>ROUND(30*COUNTA($D34:$K34)/8 + IF($M34&lt;&gt;"",20,0) + IF($N34&lt;&gt;"",20,0) + IF($O34&lt;&gt;"",15,0) + IF($L34&lt;&gt;"",10,0) + IF($P34&lt;&gt;"",5,0), 0)</f>
        <v/>
      </c>
      <c r="T34">
        <f>IF($S34&gt;=70,"High",IF($S34&gt;=40,"Medium","Low"))</f>
        <v/>
      </c>
    </row>
    <row r="35">
      <c r="S35">
        <f>ROUND(30*COUNTA($D35:$K35)/8 + IF($M35&lt;&gt;"",20,0) + IF($N35&lt;&gt;"",20,0) + IF($O35&lt;&gt;"",15,0) + IF($L35&lt;&gt;"",10,0) + IF($P35&lt;&gt;"",5,0), 0)</f>
        <v/>
      </c>
      <c r="T35">
        <f>IF($S35&gt;=70,"High",IF($S35&gt;=40,"Medium","Low"))</f>
        <v/>
      </c>
    </row>
    <row r="36">
      <c r="S36">
        <f>ROUND(30*COUNTA($D36:$K36)/8 + IF($M36&lt;&gt;"",20,0) + IF($N36&lt;&gt;"",20,0) + IF($O36&lt;&gt;"",15,0) + IF($L36&lt;&gt;"",10,0) + IF($P36&lt;&gt;"",5,0), 0)</f>
        <v/>
      </c>
      <c r="T36">
        <f>IF($S36&gt;=70,"High",IF($S36&gt;=40,"Medium","Low"))</f>
        <v/>
      </c>
    </row>
    <row r="37">
      <c r="S37">
        <f>ROUND(30*COUNTA($D37:$K37)/8 + IF($M37&lt;&gt;"",20,0) + IF($N37&lt;&gt;"",20,0) + IF($O37&lt;&gt;"",15,0) + IF($L37&lt;&gt;"",10,0) + IF($P37&lt;&gt;"",5,0), 0)</f>
        <v/>
      </c>
      <c r="T37">
        <f>IF($S37&gt;=70,"High",IF($S37&gt;=40,"Medium","Low"))</f>
        <v/>
      </c>
    </row>
    <row r="38">
      <c r="S38">
        <f>ROUND(30*COUNTA($D38:$K38)/8 + IF($M38&lt;&gt;"",20,0) + IF($N38&lt;&gt;"",20,0) + IF($O38&lt;&gt;"",15,0) + IF($L38&lt;&gt;"",10,0) + IF($P38&lt;&gt;"",5,0), 0)</f>
        <v/>
      </c>
      <c r="T38">
        <f>IF($S38&gt;=70,"High",IF($S38&gt;=40,"Medium","Low"))</f>
        <v/>
      </c>
    </row>
    <row r="39">
      <c r="S39">
        <f>ROUND(30*COUNTA($D39:$K39)/8 + IF($M39&lt;&gt;"",20,0) + IF($N39&lt;&gt;"",20,0) + IF($O39&lt;&gt;"",15,0) + IF($L39&lt;&gt;"",10,0) + IF($P39&lt;&gt;"",5,0), 0)</f>
        <v/>
      </c>
      <c r="T39">
        <f>IF($S39&gt;=70,"High",IF($S39&gt;=40,"Medium","Low"))</f>
        <v/>
      </c>
    </row>
    <row r="40">
      <c r="S40">
        <f>ROUND(30*COUNTA($D40:$K40)/8 + IF($M40&lt;&gt;"",20,0) + IF($N40&lt;&gt;"",20,0) + IF($O40&lt;&gt;"",15,0) + IF($L40&lt;&gt;"",10,0) + IF($P40&lt;&gt;"",5,0), 0)</f>
        <v/>
      </c>
      <c r="T40">
        <f>IF($S40&gt;=70,"High",IF($S40&gt;=40,"Medium","Low"))</f>
        <v/>
      </c>
    </row>
    <row r="41">
      <c r="S41">
        <f>ROUND(30*COUNTA($D41:$K41)/8 + IF($M41&lt;&gt;"",20,0) + IF($N41&lt;&gt;"",20,0) + IF($O41&lt;&gt;"",15,0) + IF($L41&lt;&gt;"",10,0) + IF($P41&lt;&gt;"",5,0), 0)</f>
        <v/>
      </c>
      <c r="T41">
        <f>IF($S41&gt;=70,"High",IF($S41&gt;=40,"Medium","Low"))</f>
        <v/>
      </c>
    </row>
    <row r="42">
      <c r="S42">
        <f>ROUND(30*COUNTA($D42:$K42)/8 + IF($M42&lt;&gt;"",20,0) + IF($N42&lt;&gt;"",20,0) + IF($O42&lt;&gt;"",15,0) + IF($L42&lt;&gt;"",10,0) + IF($P42&lt;&gt;"",5,0), 0)</f>
        <v/>
      </c>
      <c r="T42">
        <f>IF($S42&gt;=70,"High",IF($S42&gt;=40,"Medium","Low"))</f>
        <v/>
      </c>
    </row>
    <row r="43">
      <c r="S43">
        <f>ROUND(30*COUNTA($D43:$K43)/8 + IF($M43&lt;&gt;"",20,0) + IF($N43&lt;&gt;"",20,0) + IF($O43&lt;&gt;"",15,0) + IF($L43&lt;&gt;"",10,0) + IF($P43&lt;&gt;"",5,0), 0)</f>
        <v/>
      </c>
      <c r="T43">
        <f>IF($S43&gt;=70,"High",IF($S43&gt;=40,"Medium","Low"))</f>
        <v/>
      </c>
    </row>
    <row r="44">
      <c r="S44">
        <f>ROUND(30*COUNTA($D44:$K44)/8 + IF($M44&lt;&gt;"",20,0) + IF($N44&lt;&gt;"",20,0) + IF($O44&lt;&gt;"",15,0) + IF($L44&lt;&gt;"",10,0) + IF($P44&lt;&gt;"",5,0), 0)</f>
        <v/>
      </c>
      <c r="T44">
        <f>IF($S44&gt;=70,"High",IF($S44&gt;=40,"Medium","Low"))</f>
        <v/>
      </c>
    </row>
    <row r="45">
      <c r="S45">
        <f>ROUND(30*COUNTA($D45:$K45)/8 + IF($M45&lt;&gt;"",20,0) + IF($N45&lt;&gt;"",20,0) + IF($O45&lt;&gt;"",15,0) + IF($L45&lt;&gt;"",10,0) + IF($P45&lt;&gt;"",5,0), 0)</f>
        <v/>
      </c>
      <c r="T45">
        <f>IF($S45&gt;=70,"High",IF($S45&gt;=40,"Medium","Low"))</f>
        <v/>
      </c>
    </row>
    <row r="46">
      <c r="S46">
        <f>ROUND(30*COUNTA($D46:$K46)/8 + IF($M46&lt;&gt;"",20,0) + IF($N46&lt;&gt;"",20,0) + IF($O46&lt;&gt;"",15,0) + IF($L46&lt;&gt;"",10,0) + IF($P46&lt;&gt;"",5,0), 0)</f>
        <v/>
      </c>
      <c r="T46">
        <f>IF($S46&gt;=70,"High",IF($S46&gt;=40,"Medium","Low"))</f>
        <v/>
      </c>
    </row>
    <row r="47">
      <c r="S47">
        <f>ROUND(30*COUNTA($D47:$K47)/8 + IF($M47&lt;&gt;"",20,0) + IF($N47&lt;&gt;"",20,0) + IF($O47&lt;&gt;"",15,0) + IF($L47&lt;&gt;"",10,0) + IF($P47&lt;&gt;"",5,0), 0)</f>
        <v/>
      </c>
      <c r="T47">
        <f>IF($S47&gt;=70,"High",IF($S47&gt;=40,"Medium","Low"))</f>
        <v/>
      </c>
    </row>
    <row r="48">
      <c r="S48">
        <f>ROUND(30*COUNTA($D48:$K48)/8 + IF($M48&lt;&gt;"",20,0) + IF($N48&lt;&gt;"",20,0) + IF($O48&lt;&gt;"",15,0) + IF($L48&lt;&gt;"",10,0) + IF($P48&lt;&gt;"",5,0), 0)</f>
        <v/>
      </c>
      <c r="T48">
        <f>IF($S48&gt;=70,"High",IF($S48&gt;=40,"Medium","Low"))</f>
        <v/>
      </c>
    </row>
    <row r="49">
      <c r="S49">
        <f>ROUND(30*COUNTA($D49:$K49)/8 + IF($M49&lt;&gt;"",20,0) + IF($N49&lt;&gt;"",20,0) + IF($O49&lt;&gt;"",15,0) + IF($L49&lt;&gt;"",10,0) + IF($P49&lt;&gt;"",5,0), 0)</f>
        <v/>
      </c>
      <c r="T49">
        <f>IF($S49&gt;=70,"High",IF($S49&gt;=40,"Medium","Low"))</f>
        <v/>
      </c>
    </row>
    <row r="50">
      <c r="S50">
        <f>ROUND(30*COUNTA($D50:$K50)/8 + IF($M50&lt;&gt;"",20,0) + IF($N50&lt;&gt;"",20,0) + IF($O50&lt;&gt;"",15,0) + IF($L50&lt;&gt;"",10,0) + IF($P50&lt;&gt;"",5,0), 0)</f>
        <v/>
      </c>
      <c r="T50">
        <f>IF($S50&gt;=70,"High",IF($S50&gt;=40,"Medium","Low"))</f>
        <v/>
      </c>
    </row>
    <row r="51">
      <c r="S51">
        <f>ROUND(30*COUNTA($D51:$K51)/8 + IF($M51&lt;&gt;"",20,0) + IF($N51&lt;&gt;"",20,0) + IF($O51&lt;&gt;"",15,0) + IF($L51&lt;&gt;"",10,0) + IF($P51&lt;&gt;"",5,0), 0)</f>
        <v/>
      </c>
      <c r="T51">
        <f>IF($S51&gt;=70,"High",IF($S51&gt;=40,"Medium","Low"))</f>
        <v/>
      </c>
    </row>
    <row r="52">
      <c r="S52">
        <f>ROUND(30*COUNTA($D52:$K52)/8 + IF($M52&lt;&gt;"",20,0) + IF($N52&lt;&gt;"",20,0) + IF($O52&lt;&gt;"",15,0) + IF($L52&lt;&gt;"",10,0) + IF($P52&lt;&gt;"",5,0), 0)</f>
        <v/>
      </c>
      <c r="T52">
        <f>IF($S52&gt;=70,"High",IF($S52&gt;=40,"Medium","Low"))</f>
        <v/>
      </c>
    </row>
    <row r="53">
      <c r="S53">
        <f>ROUND(30*COUNTA($D53:$K53)/8 + IF($M53&lt;&gt;"",20,0) + IF($N53&lt;&gt;"",20,0) + IF($O53&lt;&gt;"",15,0) + IF($L53&lt;&gt;"",10,0) + IF($P53&lt;&gt;"",5,0), 0)</f>
        <v/>
      </c>
      <c r="T53">
        <f>IF($S53&gt;=70,"High",IF($S53&gt;=40,"Medium","Low"))</f>
        <v/>
      </c>
    </row>
    <row r="54">
      <c r="S54">
        <f>ROUND(30*COUNTA($D54:$K54)/8 + IF($M54&lt;&gt;"",20,0) + IF($N54&lt;&gt;"",20,0) + IF($O54&lt;&gt;"",15,0) + IF($L54&lt;&gt;"",10,0) + IF($P54&lt;&gt;"",5,0), 0)</f>
        <v/>
      </c>
      <c r="T54">
        <f>IF($S54&gt;=70,"High",IF($S54&gt;=40,"Medium","Low"))</f>
        <v/>
      </c>
    </row>
    <row r="55">
      <c r="S55">
        <f>ROUND(30*COUNTA($D55:$K55)/8 + IF($M55&lt;&gt;"",20,0) + IF($N55&lt;&gt;"",20,0) + IF($O55&lt;&gt;"",15,0) + IF($L55&lt;&gt;"",10,0) + IF($P55&lt;&gt;"",5,0), 0)</f>
        <v/>
      </c>
      <c r="T55">
        <f>IF($S55&gt;=70,"High",IF($S55&gt;=40,"Medium","Low"))</f>
        <v/>
      </c>
    </row>
    <row r="56">
      <c r="S56">
        <f>ROUND(30*COUNTA($D56:$K56)/8 + IF($M56&lt;&gt;"",20,0) + IF($N56&lt;&gt;"",20,0) + IF($O56&lt;&gt;"",15,0) + IF($L56&lt;&gt;"",10,0) + IF($P56&lt;&gt;"",5,0), 0)</f>
        <v/>
      </c>
      <c r="T56">
        <f>IF($S56&gt;=70,"High",IF($S56&gt;=40,"Medium","Low"))</f>
        <v/>
      </c>
    </row>
    <row r="57">
      <c r="S57">
        <f>ROUND(30*COUNTA($D57:$K57)/8 + IF($M57&lt;&gt;"",20,0) + IF($N57&lt;&gt;"",20,0) + IF($O57&lt;&gt;"",15,0) + IF($L57&lt;&gt;"",10,0) + IF($P57&lt;&gt;"",5,0), 0)</f>
        <v/>
      </c>
      <c r="T57">
        <f>IF($S57&gt;=70,"High",IF($S57&gt;=40,"Medium","Low"))</f>
        <v/>
      </c>
    </row>
    <row r="58">
      <c r="S58">
        <f>ROUND(30*COUNTA($D58:$K58)/8 + IF($M58&lt;&gt;"",20,0) + IF($N58&lt;&gt;"",20,0) + IF($O58&lt;&gt;"",15,0) + IF($L58&lt;&gt;"",10,0) + IF($P58&lt;&gt;"",5,0), 0)</f>
        <v/>
      </c>
      <c r="T58">
        <f>IF($S58&gt;=70,"High",IF($S58&gt;=40,"Medium","Low"))</f>
        <v/>
      </c>
    </row>
    <row r="59">
      <c r="S59">
        <f>ROUND(30*COUNTA($D59:$K59)/8 + IF($M59&lt;&gt;"",20,0) + IF($N59&lt;&gt;"",20,0) + IF($O59&lt;&gt;"",15,0) + IF($L59&lt;&gt;"",10,0) + IF($P59&lt;&gt;"",5,0), 0)</f>
        <v/>
      </c>
      <c r="T59">
        <f>IF($S59&gt;=70,"High",IF($S59&gt;=40,"Medium","Low"))</f>
        <v/>
      </c>
    </row>
    <row r="60">
      <c r="S60">
        <f>ROUND(30*COUNTA($D60:$K60)/8 + IF($M60&lt;&gt;"",20,0) + IF($N60&lt;&gt;"",20,0) + IF($O60&lt;&gt;"",15,0) + IF($L60&lt;&gt;"",10,0) + IF($P60&lt;&gt;"",5,0), 0)</f>
        <v/>
      </c>
      <c r="T60">
        <f>IF($S60&gt;=70,"High",IF($S60&gt;=40,"Medium","Low"))</f>
        <v/>
      </c>
    </row>
    <row r="61">
      <c r="S61">
        <f>ROUND(30*COUNTA($D61:$K61)/8 + IF($M61&lt;&gt;"",20,0) + IF($N61&lt;&gt;"",20,0) + IF($O61&lt;&gt;"",15,0) + IF($L61&lt;&gt;"",10,0) + IF($P61&lt;&gt;"",5,0), 0)</f>
        <v/>
      </c>
      <c r="T61">
        <f>IF($S61&gt;=70,"High",IF($S61&gt;=40,"Medium","Low"))</f>
        <v/>
      </c>
    </row>
    <row r="62">
      <c r="S62">
        <f>ROUND(30*COUNTA($D62:$K62)/8 + IF($M62&lt;&gt;"",20,0) + IF($N62&lt;&gt;"",20,0) + IF($O62&lt;&gt;"",15,0) + IF($L62&lt;&gt;"",10,0) + IF($P62&lt;&gt;"",5,0), 0)</f>
        <v/>
      </c>
      <c r="T62">
        <f>IF($S62&gt;=70,"High",IF($S62&gt;=40,"Medium","Low"))</f>
        <v/>
      </c>
    </row>
    <row r="63">
      <c r="S63">
        <f>ROUND(30*COUNTA($D63:$K63)/8 + IF($M63&lt;&gt;"",20,0) + IF($N63&lt;&gt;"",20,0) + IF($O63&lt;&gt;"",15,0) + IF($L63&lt;&gt;"",10,0) + IF($P63&lt;&gt;"",5,0), 0)</f>
        <v/>
      </c>
      <c r="T63">
        <f>IF($S63&gt;=70,"High",IF($S63&gt;=40,"Medium","Low"))</f>
        <v/>
      </c>
    </row>
    <row r="64">
      <c r="S64">
        <f>ROUND(30*COUNTA($D64:$K64)/8 + IF($M64&lt;&gt;"",20,0) + IF($N64&lt;&gt;"",20,0) + IF($O64&lt;&gt;"",15,0) + IF($L64&lt;&gt;"",10,0) + IF($P64&lt;&gt;"",5,0), 0)</f>
        <v/>
      </c>
      <c r="T64">
        <f>IF($S64&gt;=70,"High",IF($S64&gt;=40,"Medium","Low"))</f>
        <v/>
      </c>
    </row>
    <row r="65">
      <c r="S65">
        <f>ROUND(30*COUNTA($D65:$K65)/8 + IF($M65&lt;&gt;"",20,0) + IF($N65&lt;&gt;"",20,0) + IF($O65&lt;&gt;"",15,0) + IF($L65&lt;&gt;"",10,0) + IF($P65&lt;&gt;"",5,0), 0)</f>
        <v/>
      </c>
      <c r="T65">
        <f>IF($S65&gt;=70,"High",IF($S65&gt;=40,"Medium","Low"))</f>
        <v/>
      </c>
    </row>
    <row r="66">
      <c r="S66">
        <f>ROUND(30*COUNTA($D66:$K66)/8 + IF($M66&lt;&gt;"",20,0) + IF($N66&lt;&gt;"",20,0) + IF($O66&lt;&gt;"",15,0) + IF($L66&lt;&gt;"",10,0) + IF($P66&lt;&gt;"",5,0), 0)</f>
        <v/>
      </c>
      <c r="T66">
        <f>IF($S66&gt;=70,"High",IF($S66&gt;=40,"Medium","Low"))</f>
        <v/>
      </c>
    </row>
    <row r="67">
      <c r="S67">
        <f>ROUND(30*COUNTA($D67:$K67)/8 + IF($M67&lt;&gt;"",20,0) + IF($N67&lt;&gt;"",20,0) + IF($O67&lt;&gt;"",15,0) + IF($L67&lt;&gt;"",10,0) + IF($P67&lt;&gt;"",5,0), 0)</f>
        <v/>
      </c>
      <c r="T67">
        <f>IF($S67&gt;=70,"High",IF($S67&gt;=40,"Medium","Low"))</f>
        <v/>
      </c>
    </row>
    <row r="68">
      <c r="S68">
        <f>ROUND(30*COUNTA($D68:$K68)/8 + IF($M68&lt;&gt;"",20,0) + IF($N68&lt;&gt;"",20,0) + IF($O68&lt;&gt;"",15,0) + IF($L68&lt;&gt;"",10,0) + IF($P68&lt;&gt;"",5,0), 0)</f>
        <v/>
      </c>
      <c r="T68">
        <f>IF($S68&gt;=70,"High",IF($S68&gt;=40,"Medium","Low"))</f>
        <v/>
      </c>
    </row>
    <row r="69">
      <c r="S69">
        <f>ROUND(30*COUNTA($D69:$K69)/8 + IF($M69&lt;&gt;"",20,0) + IF($N69&lt;&gt;"",20,0) + IF($O69&lt;&gt;"",15,0) + IF($L69&lt;&gt;"",10,0) + IF($P69&lt;&gt;"",5,0), 0)</f>
        <v/>
      </c>
      <c r="T69">
        <f>IF($S69&gt;=70,"High",IF($S69&gt;=40,"Medium","Low"))</f>
        <v/>
      </c>
    </row>
    <row r="70">
      <c r="S70">
        <f>ROUND(30*COUNTA($D70:$K70)/8 + IF($M70&lt;&gt;"",20,0) + IF($N70&lt;&gt;"",20,0) + IF($O70&lt;&gt;"",15,0) + IF($L70&lt;&gt;"",10,0) + IF($P70&lt;&gt;"",5,0), 0)</f>
        <v/>
      </c>
      <c r="T70">
        <f>IF($S70&gt;=70,"High",IF($S70&gt;=40,"Medium","Low"))</f>
        <v/>
      </c>
    </row>
    <row r="71">
      <c r="S71">
        <f>ROUND(30*COUNTA($D71:$K71)/8 + IF($M71&lt;&gt;"",20,0) + IF($N71&lt;&gt;"",20,0) + IF($O71&lt;&gt;"",15,0) + IF($L71&lt;&gt;"",10,0) + IF($P71&lt;&gt;"",5,0), 0)</f>
        <v/>
      </c>
      <c r="T71">
        <f>IF($S71&gt;=70,"High",IF($S71&gt;=40,"Medium","Low"))</f>
        <v/>
      </c>
    </row>
    <row r="72">
      <c r="S72">
        <f>ROUND(30*COUNTA($D72:$K72)/8 + IF($M72&lt;&gt;"",20,0) + IF($N72&lt;&gt;"",20,0) + IF($O72&lt;&gt;"",15,0) + IF($L72&lt;&gt;"",10,0) + IF($P72&lt;&gt;"",5,0), 0)</f>
        <v/>
      </c>
      <c r="T72">
        <f>IF($S72&gt;=70,"High",IF($S72&gt;=40,"Medium","Low"))</f>
        <v/>
      </c>
    </row>
    <row r="73">
      <c r="S73">
        <f>ROUND(30*COUNTA($D73:$K73)/8 + IF($M73&lt;&gt;"",20,0) + IF($N73&lt;&gt;"",20,0) + IF($O73&lt;&gt;"",15,0) + IF($L73&lt;&gt;"",10,0) + IF($P73&lt;&gt;"",5,0), 0)</f>
        <v/>
      </c>
      <c r="T73">
        <f>IF($S73&gt;=70,"High",IF($S73&gt;=40,"Medium","Low"))</f>
        <v/>
      </c>
    </row>
    <row r="74">
      <c r="S74">
        <f>ROUND(30*COUNTA($D74:$K74)/8 + IF($M74&lt;&gt;"",20,0) + IF($N74&lt;&gt;"",20,0) + IF($O74&lt;&gt;"",15,0) + IF($L74&lt;&gt;"",10,0) + IF($P74&lt;&gt;"",5,0), 0)</f>
        <v/>
      </c>
      <c r="T74">
        <f>IF($S74&gt;=70,"High",IF($S74&gt;=40,"Medium","Low"))</f>
        <v/>
      </c>
    </row>
    <row r="75">
      <c r="S75">
        <f>ROUND(30*COUNTA($D75:$K75)/8 + IF($M75&lt;&gt;"",20,0) + IF($N75&lt;&gt;"",20,0) + IF($O75&lt;&gt;"",15,0) + IF($L75&lt;&gt;"",10,0) + IF($P75&lt;&gt;"",5,0), 0)</f>
        <v/>
      </c>
      <c r="T75">
        <f>IF($S75&gt;=70,"High",IF($S75&gt;=40,"Medium","Low"))</f>
        <v/>
      </c>
    </row>
    <row r="76">
      <c r="S76">
        <f>ROUND(30*COUNTA($D76:$K76)/8 + IF($M76&lt;&gt;"",20,0) + IF($N76&lt;&gt;"",20,0) + IF($O76&lt;&gt;"",15,0) + IF($L76&lt;&gt;"",10,0) + IF($P76&lt;&gt;"",5,0), 0)</f>
        <v/>
      </c>
      <c r="T76">
        <f>IF($S76&gt;=70,"High",IF($S76&gt;=40,"Medium","Low"))</f>
        <v/>
      </c>
    </row>
    <row r="77">
      <c r="S77">
        <f>ROUND(30*COUNTA($D77:$K77)/8 + IF($M77&lt;&gt;"",20,0) + IF($N77&lt;&gt;"",20,0) + IF($O77&lt;&gt;"",15,0) + IF($L77&lt;&gt;"",10,0) + IF($P77&lt;&gt;"",5,0), 0)</f>
        <v/>
      </c>
      <c r="T77">
        <f>IF($S77&gt;=70,"High",IF($S77&gt;=40,"Medium","Low"))</f>
        <v/>
      </c>
    </row>
    <row r="78">
      <c r="S78">
        <f>ROUND(30*COUNTA($D78:$K78)/8 + IF($M78&lt;&gt;"",20,0) + IF($N78&lt;&gt;"",20,0) + IF($O78&lt;&gt;"",15,0) + IF($L78&lt;&gt;"",10,0) + IF($P78&lt;&gt;"",5,0), 0)</f>
        <v/>
      </c>
      <c r="T78">
        <f>IF($S78&gt;=70,"High",IF($S78&gt;=40,"Medium","Low"))</f>
        <v/>
      </c>
    </row>
    <row r="79">
      <c r="S79">
        <f>ROUND(30*COUNTA($D79:$K79)/8 + IF($M79&lt;&gt;"",20,0) + IF($N79&lt;&gt;"",20,0) + IF($O79&lt;&gt;"",15,0) + IF($L79&lt;&gt;"",10,0) + IF($P79&lt;&gt;"",5,0), 0)</f>
        <v/>
      </c>
      <c r="T79">
        <f>IF($S79&gt;=70,"High",IF($S79&gt;=40,"Medium","Low"))</f>
        <v/>
      </c>
    </row>
    <row r="80">
      <c r="S80">
        <f>ROUND(30*COUNTA($D80:$K80)/8 + IF($M80&lt;&gt;"",20,0) + IF($N80&lt;&gt;"",20,0) + IF($O80&lt;&gt;"",15,0) + IF($L80&lt;&gt;"",10,0) + IF($P80&lt;&gt;"",5,0), 0)</f>
        <v/>
      </c>
      <c r="T80">
        <f>IF($S80&gt;=70,"High",IF($S80&gt;=40,"Medium","Low"))</f>
        <v/>
      </c>
    </row>
    <row r="81">
      <c r="S81">
        <f>ROUND(30*COUNTA($D81:$K81)/8 + IF($M81&lt;&gt;"",20,0) + IF($N81&lt;&gt;"",20,0) + IF($O81&lt;&gt;"",15,0) + IF($L81&lt;&gt;"",10,0) + IF($P81&lt;&gt;"",5,0), 0)</f>
        <v/>
      </c>
      <c r="T81">
        <f>IF($S81&gt;=70,"High",IF($S81&gt;=40,"Medium","Low"))</f>
        <v/>
      </c>
    </row>
    <row r="82">
      <c r="S82">
        <f>ROUND(30*COUNTA($D82:$K82)/8 + IF($M82&lt;&gt;"",20,0) + IF($N82&lt;&gt;"",20,0) + IF($O82&lt;&gt;"",15,0) + IF($L82&lt;&gt;"",10,0) + IF($P82&lt;&gt;"",5,0), 0)</f>
        <v/>
      </c>
      <c r="T82">
        <f>IF($S82&gt;=70,"High",IF($S82&gt;=40,"Medium","Low"))</f>
        <v/>
      </c>
    </row>
    <row r="83">
      <c r="S83">
        <f>ROUND(30*COUNTA($D83:$K83)/8 + IF($M83&lt;&gt;"",20,0) + IF($N83&lt;&gt;"",20,0) + IF($O83&lt;&gt;"",15,0) + IF($L83&lt;&gt;"",10,0) + IF($P83&lt;&gt;"",5,0), 0)</f>
        <v/>
      </c>
      <c r="T83">
        <f>IF($S83&gt;=70,"High",IF($S83&gt;=40,"Medium","Low"))</f>
        <v/>
      </c>
    </row>
    <row r="84">
      <c r="S84">
        <f>ROUND(30*COUNTA($D84:$K84)/8 + IF($M84&lt;&gt;"",20,0) + IF($N84&lt;&gt;"",20,0) + IF($O84&lt;&gt;"",15,0) + IF($L84&lt;&gt;"",10,0) + IF($P84&lt;&gt;"",5,0), 0)</f>
        <v/>
      </c>
      <c r="T84">
        <f>IF($S84&gt;=70,"High",IF($S84&gt;=40,"Medium","Low"))</f>
        <v/>
      </c>
    </row>
    <row r="85">
      <c r="S85">
        <f>ROUND(30*COUNTA($D85:$K85)/8 + IF($M85&lt;&gt;"",20,0) + IF($N85&lt;&gt;"",20,0) + IF($O85&lt;&gt;"",15,0) + IF($L85&lt;&gt;"",10,0) + IF($P85&lt;&gt;"",5,0), 0)</f>
        <v/>
      </c>
      <c r="T85">
        <f>IF($S85&gt;=70,"High",IF($S85&gt;=40,"Medium","Low"))</f>
        <v/>
      </c>
    </row>
    <row r="86">
      <c r="S86">
        <f>ROUND(30*COUNTA($D86:$K86)/8 + IF($M86&lt;&gt;"",20,0) + IF($N86&lt;&gt;"",20,0) + IF($O86&lt;&gt;"",15,0) + IF($L86&lt;&gt;"",10,0) + IF($P86&lt;&gt;"",5,0), 0)</f>
        <v/>
      </c>
      <c r="T86">
        <f>IF($S86&gt;=70,"High",IF($S86&gt;=40,"Medium","Low"))</f>
        <v/>
      </c>
    </row>
    <row r="87">
      <c r="S87">
        <f>ROUND(30*COUNTA($D87:$K87)/8 + IF($M87&lt;&gt;"",20,0) + IF($N87&lt;&gt;"",20,0) + IF($O87&lt;&gt;"",15,0) + IF($L87&lt;&gt;"",10,0) + IF($P87&lt;&gt;"",5,0), 0)</f>
        <v/>
      </c>
      <c r="T87">
        <f>IF($S87&gt;=70,"High",IF($S87&gt;=40,"Medium","Low"))</f>
        <v/>
      </c>
    </row>
    <row r="88">
      <c r="S88">
        <f>ROUND(30*COUNTA($D88:$K88)/8 + IF($M88&lt;&gt;"",20,0) + IF($N88&lt;&gt;"",20,0) + IF($O88&lt;&gt;"",15,0) + IF($L88&lt;&gt;"",10,0) + IF($P88&lt;&gt;"",5,0), 0)</f>
        <v/>
      </c>
      <c r="T88">
        <f>IF($S88&gt;=70,"High",IF($S88&gt;=40,"Medium","Low"))</f>
        <v/>
      </c>
    </row>
    <row r="89">
      <c r="S89">
        <f>ROUND(30*COUNTA($D89:$K89)/8 + IF($M89&lt;&gt;"",20,0) + IF($N89&lt;&gt;"",20,0) + IF($O89&lt;&gt;"",15,0) + IF($L89&lt;&gt;"",10,0) + IF($P89&lt;&gt;"",5,0), 0)</f>
        <v/>
      </c>
      <c r="T89">
        <f>IF($S89&gt;=70,"High",IF($S89&gt;=40,"Medium","Low"))</f>
        <v/>
      </c>
    </row>
    <row r="90">
      <c r="S90">
        <f>ROUND(30*COUNTA($D90:$K90)/8 + IF($M90&lt;&gt;"",20,0) + IF($N90&lt;&gt;"",20,0) + IF($O90&lt;&gt;"",15,0) + IF($L90&lt;&gt;"",10,0) + IF($P90&lt;&gt;"",5,0), 0)</f>
        <v/>
      </c>
      <c r="T90">
        <f>IF($S90&gt;=70,"High",IF($S90&gt;=40,"Medium","Low"))</f>
        <v/>
      </c>
    </row>
    <row r="91">
      <c r="S91">
        <f>ROUND(30*COUNTA($D91:$K91)/8 + IF($M91&lt;&gt;"",20,0) + IF($N91&lt;&gt;"",20,0) + IF($O91&lt;&gt;"",15,0) + IF($L91&lt;&gt;"",10,0) + IF($P91&lt;&gt;"",5,0), 0)</f>
        <v/>
      </c>
      <c r="T91">
        <f>IF($S91&gt;=70,"High",IF($S91&gt;=40,"Medium","Low"))</f>
        <v/>
      </c>
    </row>
    <row r="92">
      <c r="S92">
        <f>ROUND(30*COUNTA($D92:$K92)/8 + IF($M92&lt;&gt;"",20,0) + IF($N92&lt;&gt;"",20,0) + IF($O92&lt;&gt;"",15,0) + IF($L92&lt;&gt;"",10,0) + IF($P92&lt;&gt;"",5,0), 0)</f>
        <v/>
      </c>
      <c r="T92">
        <f>IF($S92&gt;=70,"High",IF($S92&gt;=40,"Medium","Low"))</f>
        <v/>
      </c>
    </row>
    <row r="93">
      <c r="S93">
        <f>ROUND(30*COUNTA($D93:$K93)/8 + IF($M93&lt;&gt;"",20,0) + IF($N93&lt;&gt;"",20,0) + IF($O93&lt;&gt;"",15,0) + IF($L93&lt;&gt;"",10,0) + IF($P93&lt;&gt;"",5,0), 0)</f>
        <v/>
      </c>
      <c r="T93">
        <f>IF($S93&gt;=70,"High",IF($S93&gt;=40,"Medium","Low"))</f>
        <v/>
      </c>
    </row>
    <row r="94">
      <c r="S94">
        <f>ROUND(30*COUNTA($D94:$K94)/8 + IF($M94&lt;&gt;"",20,0) + IF($N94&lt;&gt;"",20,0) + IF($O94&lt;&gt;"",15,0) + IF($L94&lt;&gt;"",10,0) + IF($P94&lt;&gt;"",5,0), 0)</f>
        <v/>
      </c>
      <c r="T94">
        <f>IF($S94&gt;=70,"High",IF($S94&gt;=40,"Medium","Low"))</f>
        <v/>
      </c>
    </row>
    <row r="95">
      <c r="S95">
        <f>ROUND(30*COUNTA($D95:$K95)/8 + IF($M95&lt;&gt;"",20,0) + IF($N95&lt;&gt;"",20,0) + IF($O95&lt;&gt;"",15,0) + IF($L95&lt;&gt;"",10,0) + IF($P95&lt;&gt;"",5,0), 0)</f>
        <v/>
      </c>
      <c r="T95">
        <f>IF($S95&gt;=70,"High",IF($S95&gt;=40,"Medium","Low"))</f>
        <v/>
      </c>
    </row>
    <row r="96">
      <c r="S96">
        <f>ROUND(30*COUNTA($D96:$K96)/8 + IF($M96&lt;&gt;"",20,0) + IF($N96&lt;&gt;"",20,0) + IF($O96&lt;&gt;"",15,0) + IF($L96&lt;&gt;"",10,0) + IF($P96&lt;&gt;"",5,0), 0)</f>
        <v/>
      </c>
      <c r="T96">
        <f>IF($S96&gt;=70,"High",IF($S96&gt;=40,"Medium","Low"))</f>
        <v/>
      </c>
    </row>
    <row r="97">
      <c r="S97">
        <f>ROUND(30*COUNTA($D97:$K97)/8 + IF($M97&lt;&gt;"",20,0) + IF($N97&lt;&gt;"",20,0) + IF($O97&lt;&gt;"",15,0) + IF($L97&lt;&gt;"",10,0) + IF($P97&lt;&gt;"",5,0), 0)</f>
        <v/>
      </c>
      <c r="T97">
        <f>IF($S97&gt;=70,"High",IF($S97&gt;=40,"Medium","Low"))</f>
        <v/>
      </c>
    </row>
    <row r="98">
      <c r="S98">
        <f>ROUND(30*COUNTA($D98:$K98)/8 + IF($M98&lt;&gt;"",20,0) + IF($N98&lt;&gt;"",20,0) + IF($O98&lt;&gt;"",15,0) + IF($L98&lt;&gt;"",10,0) + IF($P98&lt;&gt;"",5,0), 0)</f>
        <v/>
      </c>
      <c r="T98">
        <f>IF($S98&gt;=70,"High",IF($S98&gt;=40,"Medium","Low"))</f>
        <v/>
      </c>
    </row>
    <row r="99">
      <c r="S99">
        <f>ROUND(30*COUNTA($D99:$K99)/8 + IF($M99&lt;&gt;"",20,0) + IF($N99&lt;&gt;"",20,0) + IF($O99&lt;&gt;"",15,0) + IF($L99&lt;&gt;"",10,0) + IF($P99&lt;&gt;"",5,0), 0)</f>
        <v/>
      </c>
      <c r="T99">
        <f>IF($S99&gt;=70,"High",IF($S99&gt;=40,"Medium","Low"))</f>
        <v/>
      </c>
    </row>
    <row r="100">
      <c r="S100">
        <f>ROUND(30*COUNTA($D100:$K100)/8 + IF($M100&lt;&gt;"",20,0) + IF($N100&lt;&gt;"",20,0) + IF($O100&lt;&gt;"",15,0) + IF($L100&lt;&gt;"",10,0) + IF($P100&lt;&gt;"",5,0), 0)</f>
        <v/>
      </c>
      <c r="T100">
        <f>IF($S100&gt;=70,"High",IF($S100&gt;=40,"Medium","Low"))</f>
        <v/>
      </c>
    </row>
    <row r="101">
      <c r="S101">
        <f>ROUND(30*COUNTA($D101:$K101)/8 + IF($M101&lt;&gt;"",20,0) + IF($N101&lt;&gt;"",20,0) + IF($O101&lt;&gt;"",15,0) + IF($L101&lt;&gt;"",10,0) + IF($P101&lt;&gt;"",5,0), 0)</f>
        <v/>
      </c>
      <c r="T101">
        <f>IF($S101&gt;=70,"High",IF($S101&gt;=40,"Medium","Low"))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Kategori</t>
        </is>
      </c>
      <c r="B1" s="2" t="inlineStr">
        <is>
          <t>Antal</t>
        </is>
      </c>
    </row>
    <row r="2">
      <c r="A2" t="inlineStr">
        <is>
          <t>High</t>
        </is>
      </c>
      <c r="B2">
        <f>COUNTIF(ScoreCalc!$T$2:$T$1000,"High")</f>
        <v/>
      </c>
    </row>
    <row r="3">
      <c r="A3" t="inlineStr">
        <is>
          <t>Medium</t>
        </is>
      </c>
      <c r="B3">
        <f>COUNTIF(ScoreCalc!$T$2:$T$1000,"Medium")</f>
        <v/>
      </c>
    </row>
    <row r="4">
      <c r="A4" t="inlineStr">
        <is>
          <t>Low</t>
        </is>
      </c>
      <c r="B4">
        <f>COUNTIF(ScoreCalc!$T$2:$T$1000,"Low")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2025-11-27T00:53:41Z</dcterms:created>
  <dcterms:modified xmlns:dcterms="http://purl.org/dc/terms/" xmlns:xsi="http://www.w3.org/2001/XMLSchema-instance" xsi:type="dcterms:W3CDTF">2025-11-28T01:44:05Z</dcterms:modified>
</cp:coreProperties>
</file>