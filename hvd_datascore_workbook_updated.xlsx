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ScoreCalc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HVD DataScore Template</t>
        </is>
      </c>
    </row>
    <row r="3">
      <c r="A3" t="inlineStr">
        <is>
          <t>Formål:</t>
        </is>
      </c>
    </row>
    <row r="4">
      <c r="A4" t="inlineStr">
        <is>
          <t>Denne fil bruges til at samle submissions fra HVD diagnoseformularen, beregne en DataScore og klassificere sager som High/Medium/Low.</t>
        </is>
      </c>
    </row>
    <row r="6">
      <c r="A6" t="inlineStr">
        <is>
          <t>Dato:</t>
        </is>
      </c>
      <c r="B6" t="inlineStr">
        <is>
          <t>2025-11-27</t>
        </is>
      </c>
    </row>
    <row r="8">
      <c r="A8" t="inlineStr">
        <is>
          <t>Arkoversigt:</t>
        </is>
      </c>
    </row>
    <row r="9">
      <c r="A9" t="inlineStr">
        <is>
          <t>Raw_Data – indsæt eller importér alle formularsvar her (en række pr. sag)</t>
        </is>
      </c>
    </row>
    <row r="10">
      <c r="A10" t="inlineStr">
        <is>
          <t>ScoreCalc – beregner DataScore og kategori ud fra felterne i Raw_Data</t>
        </is>
      </c>
    </row>
    <row r="11">
      <c r="A11" t="inlineStr">
        <is>
          <t>Summary – giver et hurtigt overblik over antal sager i hver kategori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Værksted</t>
        </is>
      </c>
      <c r="B1" s="2" t="inlineStr">
        <is>
          <t>Kontaktperson</t>
        </is>
      </c>
      <c r="C1" s="2" t="inlineStr">
        <is>
          <t>E-mail</t>
        </is>
      </c>
      <c r="D1" s="2" t="inlineStr">
        <is>
          <t>VIN</t>
        </is>
      </c>
      <c r="E1" s="2" t="inlineStr">
        <is>
          <t>Mærke</t>
        </is>
      </c>
      <c r="F1" s="2" t="inlineStr">
        <is>
          <t>Model</t>
        </is>
      </c>
      <c r="G1" s="2" t="inlineStr">
        <is>
          <t>Årgang</t>
        </is>
      </c>
      <c r="H1" s="2" t="inlineStr">
        <is>
          <t>Kilometer</t>
        </is>
      </c>
      <c r="I1" s="2" t="inlineStr">
        <is>
          <t>Brændstof</t>
        </is>
      </c>
      <c r="J1" s="2" t="inlineStr">
        <is>
          <t>Gearkasse</t>
        </is>
      </c>
      <c r="K1" s="2" t="inlineStr">
        <is>
          <t>Marked</t>
        </is>
      </c>
      <c r="L1" s="2" t="inlineStr">
        <is>
          <t>Symptombeskrivelse</t>
        </is>
      </c>
      <c r="M1" s="2" t="inlineStr">
        <is>
          <t>DTC &amp; Freeze frames</t>
        </is>
      </c>
      <c r="N1" s="2" t="inlineStr">
        <is>
          <t>Logs</t>
        </is>
      </c>
      <c r="O1" s="2" t="inlineStr">
        <is>
          <t>Foto/Video</t>
        </is>
      </c>
      <c r="P1" s="2" t="inlineStr">
        <is>
          <t>Historik</t>
        </is>
      </c>
      <c r="Q1" s="2" t="inlineStr">
        <is>
          <t>Udstyr/Kompetencer</t>
        </is>
      </c>
      <c r="R1" s="2" t="inlineStr">
        <is>
          <t>Prioritet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Værksted</t>
        </is>
      </c>
      <c r="B1" s="2" t="inlineStr">
        <is>
          <t>Kontaktperson</t>
        </is>
      </c>
      <c r="C1" s="2" t="inlineStr">
        <is>
          <t>E-mail</t>
        </is>
      </c>
      <c r="D1" s="2" t="inlineStr">
        <is>
          <t>VIN</t>
        </is>
      </c>
      <c r="E1" s="2" t="inlineStr">
        <is>
          <t>Mærke</t>
        </is>
      </c>
      <c r="F1" s="2" t="inlineStr">
        <is>
          <t>Model</t>
        </is>
      </c>
      <c r="G1" s="2" t="inlineStr">
        <is>
          <t>Årgang</t>
        </is>
      </c>
      <c r="H1" s="2" t="inlineStr">
        <is>
          <t>Kilometer</t>
        </is>
      </c>
      <c r="I1" s="2" t="inlineStr">
        <is>
          <t>Brændstof</t>
        </is>
      </c>
      <c r="J1" s="2" t="inlineStr">
        <is>
          <t>Gearkasse</t>
        </is>
      </c>
      <c r="K1" s="2" t="inlineStr">
        <is>
          <t>Marked</t>
        </is>
      </c>
      <c r="L1" s="2" t="inlineStr">
        <is>
          <t>Symptombeskrivelse</t>
        </is>
      </c>
      <c r="M1" s="2" t="inlineStr">
        <is>
          <t>DTC &amp; Freeze frames</t>
        </is>
      </c>
      <c r="N1" s="2" t="inlineStr">
        <is>
          <t>Logs</t>
        </is>
      </c>
      <c r="O1" s="2" t="inlineStr">
        <is>
          <t>Foto/Video</t>
        </is>
      </c>
      <c r="P1" s="2" t="inlineStr">
        <is>
          <t>Historik</t>
        </is>
      </c>
      <c r="Q1" s="2" t="inlineStr">
        <is>
          <t>Udstyr/Kompetencer</t>
        </is>
      </c>
      <c r="R1" s="2" t="inlineStr">
        <is>
          <t>Prioritet</t>
        </is>
      </c>
      <c r="S1" s="2" t="inlineStr">
        <is>
          <t>DataScore</t>
        </is>
      </c>
      <c r="T1" s="2" t="inlineStr">
        <is>
          <t>Kategori</t>
        </is>
      </c>
    </row>
    <row r="2">
      <c r="A2">
        <f>Raw_Data!A2</f>
        <v/>
      </c>
      <c r="B2">
        <f>Raw_Data!B2</f>
        <v/>
      </c>
      <c r="C2">
        <f>Raw_Data!C2</f>
        <v/>
      </c>
      <c r="D2">
        <f>Raw_Data!D2</f>
        <v/>
      </c>
      <c r="E2">
        <f>Raw_Data!E2</f>
        <v/>
      </c>
      <c r="F2">
        <f>Raw_Data!F2</f>
        <v/>
      </c>
      <c r="G2">
        <f>Raw_Data!G2</f>
        <v/>
      </c>
      <c r="H2">
        <f>Raw_Data!H2</f>
        <v/>
      </c>
      <c r="I2">
        <f>Raw_Data!I2</f>
        <v/>
      </c>
      <c r="J2">
        <f>Raw_Data!J2</f>
        <v/>
      </c>
      <c r="K2">
        <f>Raw_Data!K2</f>
        <v/>
      </c>
      <c r="L2">
        <f>Raw_Data!L2</f>
        <v/>
      </c>
      <c r="M2">
        <f>Raw_Data!M2</f>
        <v/>
      </c>
      <c r="N2">
        <f>Raw_Data!N2</f>
        <v/>
      </c>
      <c r="O2">
        <f>Raw_Data!O2</f>
        <v/>
      </c>
      <c r="P2">
        <f>Raw_Data!P2</f>
        <v/>
      </c>
      <c r="Q2">
        <f>Raw_Data!Q2</f>
        <v/>
      </c>
      <c r="R2">
        <f>Raw_Data!R2</f>
        <v/>
      </c>
      <c r="S2">
        <f>IF(LEN($D2)&gt;=17,15,IF($D2&lt;&gt;"",8,0))+IF($E2&lt;&gt;"",8,0)+IF($F2&lt;&gt;"",8,0)+IF($G2&lt;&gt;"",4,0)+IF($H2&lt;&gt;"",4,0)+IF($I2&lt;&gt;"",4,0)+IF($J2&lt;&gt;"",4,0)+IF($K2&lt;&gt;"",4,0)+IF($L2&lt;&gt;"",10,0)+IF($M2&lt;&gt;"",20,0)+IF($N2&lt;&gt;"",7,0)+IF($O2&lt;&gt;"",4,0)+IF($P2&lt;&gt;"",4,0)+IF($Q2&lt;&gt;"",4,0)</f>
        <v/>
      </c>
      <c r="T2">
        <f>IF($S2&gt;=70,"High",IF($S2&gt;=40,"Medium","Low"))</f>
        <v/>
      </c>
    </row>
    <row r="3">
      <c r="S3">
        <f>IF(LEN($D3)&gt;=17,15,IF($D3&lt;&gt;"",8,0))+IF($E3&lt;&gt;"",8,0)+IF($F3&lt;&gt;"",8,0)+IF($G3&lt;&gt;"",4,0)+IF($H3&lt;&gt;"",4,0)+IF($I3&lt;&gt;"",4,0)+IF($J3&lt;&gt;"",4,0)+IF($K3&lt;&gt;"",4,0)+IF($L3&lt;&gt;"",10,0)+IF($M3&lt;&gt;"",20,0)+IF($N3&lt;&gt;"",7,0)+IF($O3&lt;&gt;"",4,0)+IF($P3&lt;&gt;"",4,0)+IF($Q3&lt;&gt;"",4,0)</f>
        <v/>
      </c>
      <c r="T3">
        <f>IF($S3&gt;=70,"High",IF($S3&gt;=40,"Medium","Low"))</f>
        <v/>
      </c>
    </row>
    <row r="4">
      <c r="S4">
        <f>IF(LEN($D4)&gt;=17,15,IF($D4&lt;&gt;"",8,0))+IF($E4&lt;&gt;"",8,0)+IF($F4&lt;&gt;"",8,0)+IF($G4&lt;&gt;"",4,0)+IF($H4&lt;&gt;"",4,0)+IF($I4&lt;&gt;"",4,0)+IF($J4&lt;&gt;"",4,0)+IF($K4&lt;&gt;"",4,0)+IF($L4&lt;&gt;"",10,0)+IF($M4&lt;&gt;"",20,0)+IF($N4&lt;&gt;"",7,0)+IF($O4&lt;&gt;"",4,0)+IF($P4&lt;&gt;"",4,0)+IF($Q4&lt;&gt;"",4,0)</f>
        <v/>
      </c>
      <c r="T4">
        <f>IF($S4&gt;=70,"High",IF($S4&gt;=40,"Medium","Low"))</f>
        <v/>
      </c>
    </row>
    <row r="5">
      <c r="S5">
        <f>IF(LEN($D5)&gt;=17,15,IF($D5&lt;&gt;"",8,0))+IF($E5&lt;&gt;"",8,0)+IF($F5&lt;&gt;"",8,0)+IF($G5&lt;&gt;"",4,0)+IF($H5&lt;&gt;"",4,0)+IF($I5&lt;&gt;"",4,0)+IF($J5&lt;&gt;"",4,0)+IF($K5&lt;&gt;"",4,0)+IF($L5&lt;&gt;"",10,0)+IF($M5&lt;&gt;"",20,0)+IF($N5&lt;&gt;"",7,0)+IF($O5&lt;&gt;"",4,0)+IF($P5&lt;&gt;"",4,0)+IF($Q5&lt;&gt;"",4,0)</f>
        <v/>
      </c>
      <c r="T5">
        <f>IF($S5&gt;=70,"High",IF($S5&gt;=40,"Medium","Low"))</f>
        <v/>
      </c>
    </row>
    <row r="6">
      <c r="S6">
        <f>IF(LEN($D6)&gt;=17,15,IF($D6&lt;&gt;"",8,0))+IF($E6&lt;&gt;"",8,0)+IF($F6&lt;&gt;"",8,0)+IF($G6&lt;&gt;"",4,0)+IF($H6&lt;&gt;"",4,0)+IF($I6&lt;&gt;"",4,0)+IF($J6&lt;&gt;"",4,0)+IF($K6&lt;&gt;"",4,0)+IF($L6&lt;&gt;"",10,0)+IF($M6&lt;&gt;"",20,0)+IF($N6&lt;&gt;"",7,0)+IF($O6&lt;&gt;"",4,0)+IF($P6&lt;&gt;"",4,0)+IF($Q6&lt;&gt;"",4,0)</f>
        <v/>
      </c>
      <c r="T6">
        <f>IF($S6&gt;=70,"High",IF($S6&gt;=40,"Medium","Low"))</f>
        <v/>
      </c>
    </row>
    <row r="7">
      <c r="S7">
        <f>IF(LEN($D7)&gt;=17,15,IF($D7&lt;&gt;"",8,0))+IF($E7&lt;&gt;"",8,0)+IF($F7&lt;&gt;"",8,0)+IF($G7&lt;&gt;"",4,0)+IF($H7&lt;&gt;"",4,0)+IF($I7&lt;&gt;"",4,0)+IF($J7&lt;&gt;"",4,0)+IF($K7&lt;&gt;"",4,0)+IF($L7&lt;&gt;"",10,0)+IF($M7&lt;&gt;"",20,0)+IF($N7&lt;&gt;"",7,0)+IF($O7&lt;&gt;"",4,0)+IF($P7&lt;&gt;"",4,0)+IF($Q7&lt;&gt;"",4,0)</f>
        <v/>
      </c>
      <c r="T7">
        <f>IF($S7&gt;=70,"High",IF($S7&gt;=40,"Medium","Low"))</f>
        <v/>
      </c>
    </row>
    <row r="8">
      <c r="S8">
        <f>IF(LEN($D8)&gt;=17,15,IF($D8&lt;&gt;"",8,0))+IF($E8&lt;&gt;"",8,0)+IF($F8&lt;&gt;"",8,0)+IF($G8&lt;&gt;"",4,0)+IF($H8&lt;&gt;"",4,0)+IF($I8&lt;&gt;"",4,0)+IF($J8&lt;&gt;"",4,0)+IF($K8&lt;&gt;"",4,0)+IF($L8&lt;&gt;"",10,0)+IF($M8&lt;&gt;"",20,0)+IF($N8&lt;&gt;"",7,0)+IF($O8&lt;&gt;"",4,0)+IF($P8&lt;&gt;"",4,0)+IF($Q8&lt;&gt;"",4,0)</f>
        <v/>
      </c>
      <c r="T8">
        <f>IF($S8&gt;=70,"High",IF($S8&gt;=40,"Medium","Low"))</f>
        <v/>
      </c>
    </row>
    <row r="9">
      <c r="S9">
        <f>IF(LEN($D9)&gt;=17,15,IF($D9&lt;&gt;"",8,0))+IF($E9&lt;&gt;"",8,0)+IF($F9&lt;&gt;"",8,0)+IF($G9&lt;&gt;"",4,0)+IF($H9&lt;&gt;"",4,0)+IF($I9&lt;&gt;"",4,0)+IF($J9&lt;&gt;"",4,0)+IF($K9&lt;&gt;"",4,0)+IF($L9&lt;&gt;"",10,0)+IF($M9&lt;&gt;"",20,0)+IF($N9&lt;&gt;"",7,0)+IF($O9&lt;&gt;"",4,0)+IF($P9&lt;&gt;"",4,0)+IF($Q9&lt;&gt;"",4,0)</f>
        <v/>
      </c>
      <c r="T9">
        <f>IF($S9&gt;=70,"High",IF($S9&gt;=40,"Medium","Low"))</f>
        <v/>
      </c>
    </row>
    <row r="10">
      <c r="S10">
        <f>IF(LEN($D10)&gt;=17,15,IF($D10&lt;&gt;"",8,0))+IF($E10&lt;&gt;"",8,0)+IF($F10&lt;&gt;"",8,0)+IF($G10&lt;&gt;"",4,0)+IF($H10&lt;&gt;"",4,0)+IF($I10&lt;&gt;"",4,0)+IF($J10&lt;&gt;"",4,0)+IF($K10&lt;&gt;"",4,0)+IF($L10&lt;&gt;"",10,0)+IF($M10&lt;&gt;"",20,0)+IF($N10&lt;&gt;"",7,0)+IF($O10&lt;&gt;"",4,0)+IF($P10&lt;&gt;"",4,0)+IF($Q10&lt;&gt;"",4,0)</f>
        <v/>
      </c>
      <c r="T10">
        <f>IF($S10&gt;=70,"High",IF($S10&gt;=40,"Medium","Low"))</f>
        <v/>
      </c>
    </row>
    <row r="11">
      <c r="S11">
        <f>IF(LEN($D11)&gt;=17,15,IF($D11&lt;&gt;"",8,0))+IF($E11&lt;&gt;"",8,0)+IF($F11&lt;&gt;"",8,0)+IF($G11&lt;&gt;"",4,0)+IF($H11&lt;&gt;"",4,0)+IF($I11&lt;&gt;"",4,0)+IF($J11&lt;&gt;"",4,0)+IF($K11&lt;&gt;"",4,0)+IF($L11&lt;&gt;"",10,0)+IF($M11&lt;&gt;"",20,0)+IF($N11&lt;&gt;"",7,0)+IF($O11&lt;&gt;"",4,0)+IF($P11&lt;&gt;"",4,0)+IF($Q11&lt;&gt;"",4,0)</f>
        <v/>
      </c>
      <c r="T11">
        <f>IF($S11&gt;=70,"High",IF($S11&gt;=40,"Medium","Low"))</f>
        <v/>
      </c>
    </row>
    <row r="12">
      <c r="S12">
        <f>IF(LEN($D12)&gt;=17,15,IF($D12&lt;&gt;"",8,0))+IF($E12&lt;&gt;"",8,0)+IF($F12&lt;&gt;"",8,0)+IF($G12&lt;&gt;"",4,0)+IF($H12&lt;&gt;"",4,0)+IF($I12&lt;&gt;"",4,0)+IF($J12&lt;&gt;"",4,0)+IF($K12&lt;&gt;"",4,0)+IF($L12&lt;&gt;"",10,0)+IF($M12&lt;&gt;"",20,0)+IF($N12&lt;&gt;"",7,0)+IF($O12&lt;&gt;"",4,0)+IF($P12&lt;&gt;"",4,0)+IF($Q12&lt;&gt;"",4,0)</f>
        <v/>
      </c>
      <c r="T12">
        <f>IF($S12&gt;=70,"High",IF($S12&gt;=40,"Medium","Low"))</f>
        <v/>
      </c>
    </row>
    <row r="13">
      <c r="S13">
        <f>IF(LEN($D13)&gt;=17,15,IF($D13&lt;&gt;"",8,0))+IF($E13&lt;&gt;"",8,0)+IF($F13&lt;&gt;"",8,0)+IF($G13&lt;&gt;"",4,0)+IF($H13&lt;&gt;"",4,0)+IF($I13&lt;&gt;"",4,0)+IF($J13&lt;&gt;"",4,0)+IF($K13&lt;&gt;"",4,0)+IF($L13&lt;&gt;"",10,0)+IF($M13&lt;&gt;"",20,0)+IF($N13&lt;&gt;"",7,0)+IF($O13&lt;&gt;"",4,0)+IF($P13&lt;&gt;"",4,0)+IF($Q13&lt;&gt;"",4,0)</f>
        <v/>
      </c>
      <c r="T13">
        <f>IF($S13&gt;=70,"High",IF($S13&gt;=40,"Medium","Low"))</f>
        <v/>
      </c>
    </row>
    <row r="14">
      <c r="S14">
        <f>IF(LEN($D14)&gt;=17,15,IF($D14&lt;&gt;"",8,0))+IF($E14&lt;&gt;"",8,0)+IF($F14&lt;&gt;"",8,0)+IF($G14&lt;&gt;"",4,0)+IF($H14&lt;&gt;"",4,0)+IF($I14&lt;&gt;"",4,0)+IF($J14&lt;&gt;"",4,0)+IF($K14&lt;&gt;"",4,0)+IF($L14&lt;&gt;"",10,0)+IF($M14&lt;&gt;"",20,0)+IF($N14&lt;&gt;"",7,0)+IF($O14&lt;&gt;"",4,0)+IF($P14&lt;&gt;"",4,0)+IF($Q14&lt;&gt;"",4,0)</f>
        <v/>
      </c>
      <c r="T14">
        <f>IF($S14&gt;=70,"High",IF($S14&gt;=40,"Medium","Low"))</f>
        <v/>
      </c>
    </row>
    <row r="15">
      <c r="S15">
        <f>IF(LEN($D15)&gt;=17,15,IF($D15&lt;&gt;"",8,0))+IF($E15&lt;&gt;"",8,0)+IF($F15&lt;&gt;"",8,0)+IF($G15&lt;&gt;"",4,0)+IF($H15&lt;&gt;"",4,0)+IF($I15&lt;&gt;"",4,0)+IF($J15&lt;&gt;"",4,0)+IF($K15&lt;&gt;"",4,0)+IF($L15&lt;&gt;"",10,0)+IF($M15&lt;&gt;"",20,0)+IF($N15&lt;&gt;"",7,0)+IF($O15&lt;&gt;"",4,0)+IF($P15&lt;&gt;"",4,0)+IF($Q15&lt;&gt;"",4,0)</f>
        <v/>
      </c>
      <c r="T15">
        <f>IF($S15&gt;=70,"High",IF($S15&gt;=40,"Medium","Low"))</f>
        <v/>
      </c>
    </row>
    <row r="16">
      <c r="S16">
        <f>IF(LEN($D16)&gt;=17,15,IF($D16&lt;&gt;"",8,0))+IF($E16&lt;&gt;"",8,0)+IF($F16&lt;&gt;"",8,0)+IF($G16&lt;&gt;"",4,0)+IF($H16&lt;&gt;"",4,0)+IF($I16&lt;&gt;"",4,0)+IF($J16&lt;&gt;"",4,0)+IF($K16&lt;&gt;"",4,0)+IF($L16&lt;&gt;"",10,0)+IF($M16&lt;&gt;"",20,0)+IF($N16&lt;&gt;"",7,0)+IF($O16&lt;&gt;"",4,0)+IF($P16&lt;&gt;"",4,0)+IF($Q16&lt;&gt;"",4,0)</f>
        <v/>
      </c>
      <c r="T16">
        <f>IF($S16&gt;=70,"High",IF($S16&gt;=40,"Medium","Low"))</f>
        <v/>
      </c>
    </row>
    <row r="17">
      <c r="S17">
        <f>IF(LEN($D17)&gt;=17,15,IF($D17&lt;&gt;"",8,0))+IF($E17&lt;&gt;"",8,0)+IF($F17&lt;&gt;"",8,0)+IF($G17&lt;&gt;"",4,0)+IF($H17&lt;&gt;"",4,0)+IF($I17&lt;&gt;"",4,0)+IF($J17&lt;&gt;"",4,0)+IF($K17&lt;&gt;"",4,0)+IF($L17&lt;&gt;"",10,0)+IF($M17&lt;&gt;"",20,0)+IF($N17&lt;&gt;"",7,0)+IF($O17&lt;&gt;"",4,0)+IF($P17&lt;&gt;"",4,0)+IF($Q17&lt;&gt;"",4,0)</f>
        <v/>
      </c>
      <c r="T17">
        <f>IF($S17&gt;=70,"High",IF($S17&gt;=40,"Medium","Low"))</f>
        <v/>
      </c>
    </row>
    <row r="18">
      <c r="S18">
        <f>IF(LEN($D18)&gt;=17,15,IF($D18&lt;&gt;"",8,0))+IF($E18&lt;&gt;"",8,0)+IF($F18&lt;&gt;"",8,0)+IF($G18&lt;&gt;"",4,0)+IF($H18&lt;&gt;"",4,0)+IF($I18&lt;&gt;"",4,0)+IF($J18&lt;&gt;"",4,0)+IF($K18&lt;&gt;"",4,0)+IF($L18&lt;&gt;"",10,0)+IF($M18&lt;&gt;"",20,0)+IF($N18&lt;&gt;"",7,0)+IF($O18&lt;&gt;"",4,0)+IF($P18&lt;&gt;"",4,0)+IF($Q18&lt;&gt;"",4,0)</f>
        <v/>
      </c>
      <c r="T18">
        <f>IF($S18&gt;=70,"High",IF($S18&gt;=40,"Medium","Low"))</f>
        <v/>
      </c>
    </row>
    <row r="19">
      <c r="S19">
        <f>IF(LEN($D19)&gt;=17,15,IF($D19&lt;&gt;"",8,0))+IF($E19&lt;&gt;"",8,0)+IF($F19&lt;&gt;"",8,0)+IF($G19&lt;&gt;"",4,0)+IF($H19&lt;&gt;"",4,0)+IF($I19&lt;&gt;"",4,0)+IF($J19&lt;&gt;"",4,0)+IF($K19&lt;&gt;"",4,0)+IF($L19&lt;&gt;"",10,0)+IF($M19&lt;&gt;"",20,0)+IF($N19&lt;&gt;"",7,0)+IF($O19&lt;&gt;"",4,0)+IF($P19&lt;&gt;"",4,0)+IF($Q19&lt;&gt;"",4,0)</f>
        <v/>
      </c>
      <c r="T19">
        <f>IF($S19&gt;=70,"High",IF($S19&gt;=40,"Medium","Low"))</f>
        <v/>
      </c>
    </row>
    <row r="20">
      <c r="S20">
        <f>IF(LEN($D20)&gt;=17,15,IF($D20&lt;&gt;"",8,0))+IF($E20&lt;&gt;"",8,0)+IF($F20&lt;&gt;"",8,0)+IF($G20&lt;&gt;"",4,0)+IF($H20&lt;&gt;"",4,0)+IF($I20&lt;&gt;"",4,0)+IF($J20&lt;&gt;"",4,0)+IF($K20&lt;&gt;"",4,0)+IF($L20&lt;&gt;"",10,0)+IF($M20&lt;&gt;"",20,0)+IF($N20&lt;&gt;"",7,0)+IF($O20&lt;&gt;"",4,0)+IF($P20&lt;&gt;"",4,0)+IF($Q20&lt;&gt;"",4,0)</f>
        <v/>
      </c>
      <c r="T20">
        <f>IF($S20&gt;=70,"High",IF($S20&gt;=40,"Medium","Low"))</f>
        <v/>
      </c>
    </row>
    <row r="21">
      <c r="S21">
        <f>IF(LEN($D21)&gt;=17,15,IF($D21&lt;&gt;"",8,0))+IF($E21&lt;&gt;"",8,0)+IF($F21&lt;&gt;"",8,0)+IF($G21&lt;&gt;"",4,0)+IF($H21&lt;&gt;"",4,0)+IF($I21&lt;&gt;"",4,0)+IF($J21&lt;&gt;"",4,0)+IF($K21&lt;&gt;"",4,0)+IF($L21&lt;&gt;"",10,0)+IF($M21&lt;&gt;"",20,0)+IF($N21&lt;&gt;"",7,0)+IF($O21&lt;&gt;"",4,0)+IF($P21&lt;&gt;"",4,0)+IF($Q21&lt;&gt;"",4,0)</f>
        <v/>
      </c>
      <c r="T21">
        <f>IF($S21&gt;=70,"High",IF($S21&gt;=40,"Medium","Low"))</f>
        <v/>
      </c>
    </row>
    <row r="22">
      <c r="S22">
        <f>IF(LEN($D22)&gt;=17,15,IF($D22&lt;&gt;"",8,0))+IF($E22&lt;&gt;"",8,0)+IF($F22&lt;&gt;"",8,0)+IF($G22&lt;&gt;"",4,0)+IF($H22&lt;&gt;"",4,0)+IF($I22&lt;&gt;"",4,0)+IF($J22&lt;&gt;"",4,0)+IF($K22&lt;&gt;"",4,0)+IF($L22&lt;&gt;"",10,0)+IF($M22&lt;&gt;"",20,0)+IF($N22&lt;&gt;"",7,0)+IF($O22&lt;&gt;"",4,0)+IF($P22&lt;&gt;"",4,0)+IF($Q22&lt;&gt;"",4,0)</f>
        <v/>
      </c>
      <c r="T22">
        <f>IF($S22&gt;=70,"High",IF($S22&gt;=40,"Medium","Low"))</f>
        <v/>
      </c>
    </row>
    <row r="23">
      <c r="S23">
        <f>IF(LEN($D23)&gt;=17,15,IF($D23&lt;&gt;"",8,0))+IF($E23&lt;&gt;"",8,0)+IF($F23&lt;&gt;"",8,0)+IF($G23&lt;&gt;"",4,0)+IF($H23&lt;&gt;"",4,0)+IF($I23&lt;&gt;"",4,0)+IF($J23&lt;&gt;"",4,0)+IF($K23&lt;&gt;"",4,0)+IF($L23&lt;&gt;"",10,0)+IF($M23&lt;&gt;"",20,0)+IF($N23&lt;&gt;"",7,0)+IF($O23&lt;&gt;"",4,0)+IF($P23&lt;&gt;"",4,0)+IF($Q23&lt;&gt;"",4,0)</f>
        <v/>
      </c>
      <c r="T23">
        <f>IF($S23&gt;=70,"High",IF($S23&gt;=40,"Medium","Low"))</f>
        <v/>
      </c>
    </row>
    <row r="24">
      <c r="S24">
        <f>IF(LEN($D24)&gt;=17,15,IF($D24&lt;&gt;"",8,0))+IF($E24&lt;&gt;"",8,0)+IF($F24&lt;&gt;"",8,0)+IF($G24&lt;&gt;"",4,0)+IF($H24&lt;&gt;"",4,0)+IF($I24&lt;&gt;"",4,0)+IF($J24&lt;&gt;"",4,0)+IF($K24&lt;&gt;"",4,0)+IF($L24&lt;&gt;"",10,0)+IF($M24&lt;&gt;"",20,0)+IF($N24&lt;&gt;"",7,0)+IF($O24&lt;&gt;"",4,0)+IF($P24&lt;&gt;"",4,0)+IF($Q24&lt;&gt;"",4,0)</f>
        <v/>
      </c>
      <c r="T24">
        <f>IF($S24&gt;=70,"High",IF($S24&gt;=40,"Medium","Low"))</f>
        <v/>
      </c>
    </row>
    <row r="25">
      <c r="S25">
        <f>IF(LEN($D25)&gt;=17,15,IF($D25&lt;&gt;"",8,0))+IF($E25&lt;&gt;"",8,0)+IF($F25&lt;&gt;"",8,0)+IF($G25&lt;&gt;"",4,0)+IF($H25&lt;&gt;"",4,0)+IF($I25&lt;&gt;"",4,0)+IF($J25&lt;&gt;"",4,0)+IF($K25&lt;&gt;"",4,0)+IF($L25&lt;&gt;"",10,0)+IF($M25&lt;&gt;"",20,0)+IF($N25&lt;&gt;"",7,0)+IF($O25&lt;&gt;"",4,0)+IF($P25&lt;&gt;"",4,0)+IF($Q25&lt;&gt;"",4,0)</f>
        <v/>
      </c>
      <c r="T25">
        <f>IF($S25&gt;=70,"High",IF($S25&gt;=40,"Medium","Low"))</f>
        <v/>
      </c>
    </row>
    <row r="26">
      <c r="S26">
        <f>IF(LEN($D26)&gt;=17,15,IF($D26&lt;&gt;"",8,0))+IF($E26&lt;&gt;"",8,0)+IF($F26&lt;&gt;"",8,0)+IF($G26&lt;&gt;"",4,0)+IF($H26&lt;&gt;"",4,0)+IF($I26&lt;&gt;"",4,0)+IF($J26&lt;&gt;"",4,0)+IF($K26&lt;&gt;"",4,0)+IF($L26&lt;&gt;"",10,0)+IF($M26&lt;&gt;"",20,0)+IF($N26&lt;&gt;"",7,0)+IF($O26&lt;&gt;"",4,0)+IF($P26&lt;&gt;"",4,0)+IF($Q26&lt;&gt;"",4,0)</f>
        <v/>
      </c>
      <c r="T26">
        <f>IF($S26&gt;=70,"High",IF($S26&gt;=40,"Medium","Low"))</f>
        <v/>
      </c>
    </row>
    <row r="27">
      <c r="S27">
        <f>IF(LEN($D27)&gt;=17,15,IF($D27&lt;&gt;"",8,0))+IF($E27&lt;&gt;"",8,0)+IF($F27&lt;&gt;"",8,0)+IF($G27&lt;&gt;"",4,0)+IF($H27&lt;&gt;"",4,0)+IF($I27&lt;&gt;"",4,0)+IF($J27&lt;&gt;"",4,0)+IF($K27&lt;&gt;"",4,0)+IF($L27&lt;&gt;"",10,0)+IF($M27&lt;&gt;"",20,0)+IF($N27&lt;&gt;"",7,0)+IF($O27&lt;&gt;"",4,0)+IF($P27&lt;&gt;"",4,0)+IF($Q27&lt;&gt;"",4,0)</f>
        <v/>
      </c>
      <c r="T27">
        <f>IF($S27&gt;=70,"High",IF($S27&gt;=40,"Medium","Low"))</f>
        <v/>
      </c>
    </row>
    <row r="28">
      <c r="S28">
        <f>IF(LEN($D28)&gt;=17,15,IF($D28&lt;&gt;"",8,0))+IF($E28&lt;&gt;"",8,0)+IF($F28&lt;&gt;"",8,0)+IF($G28&lt;&gt;"",4,0)+IF($H28&lt;&gt;"",4,0)+IF($I28&lt;&gt;"",4,0)+IF($J28&lt;&gt;"",4,0)+IF($K28&lt;&gt;"",4,0)+IF($L28&lt;&gt;"",10,0)+IF($M28&lt;&gt;"",20,0)+IF($N28&lt;&gt;"",7,0)+IF($O28&lt;&gt;"",4,0)+IF($P28&lt;&gt;"",4,0)+IF($Q28&lt;&gt;"",4,0)</f>
        <v/>
      </c>
      <c r="T28">
        <f>IF($S28&gt;=70,"High",IF($S28&gt;=40,"Medium","Low"))</f>
        <v/>
      </c>
    </row>
    <row r="29">
      <c r="S29">
        <f>IF(LEN($D29)&gt;=17,15,IF($D29&lt;&gt;"",8,0))+IF($E29&lt;&gt;"",8,0)+IF($F29&lt;&gt;"",8,0)+IF($G29&lt;&gt;"",4,0)+IF($H29&lt;&gt;"",4,0)+IF($I29&lt;&gt;"",4,0)+IF($J29&lt;&gt;"",4,0)+IF($K29&lt;&gt;"",4,0)+IF($L29&lt;&gt;"",10,0)+IF($M29&lt;&gt;"",20,0)+IF($N29&lt;&gt;"",7,0)+IF($O29&lt;&gt;"",4,0)+IF($P29&lt;&gt;"",4,0)+IF($Q29&lt;&gt;"",4,0)</f>
        <v/>
      </c>
      <c r="T29">
        <f>IF($S29&gt;=70,"High",IF($S29&gt;=40,"Medium","Low"))</f>
        <v/>
      </c>
    </row>
    <row r="30">
      <c r="S30">
        <f>IF(LEN($D30)&gt;=17,15,IF($D30&lt;&gt;"",8,0))+IF($E30&lt;&gt;"",8,0)+IF($F30&lt;&gt;"",8,0)+IF($G30&lt;&gt;"",4,0)+IF($H30&lt;&gt;"",4,0)+IF($I30&lt;&gt;"",4,0)+IF($J30&lt;&gt;"",4,0)+IF($K30&lt;&gt;"",4,0)+IF($L30&lt;&gt;"",10,0)+IF($M30&lt;&gt;"",20,0)+IF($N30&lt;&gt;"",7,0)+IF($O30&lt;&gt;"",4,0)+IF($P30&lt;&gt;"",4,0)+IF($Q30&lt;&gt;"",4,0)</f>
        <v/>
      </c>
      <c r="T30">
        <f>IF($S30&gt;=70,"High",IF($S30&gt;=40,"Medium","Low"))</f>
        <v/>
      </c>
    </row>
    <row r="31">
      <c r="S31">
        <f>IF(LEN($D31)&gt;=17,15,IF($D31&lt;&gt;"",8,0))+IF($E31&lt;&gt;"",8,0)+IF($F31&lt;&gt;"",8,0)+IF($G31&lt;&gt;"",4,0)+IF($H31&lt;&gt;"",4,0)+IF($I31&lt;&gt;"",4,0)+IF($J31&lt;&gt;"",4,0)+IF($K31&lt;&gt;"",4,0)+IF($L31&lt;&gt;"",10,0)+IF($M31&lt;&gt;"",20,0)+IF($N31&lt;&gt;"",7,0)+IF($O31&lt;&gt;"",4,0)+IF($P31&lt;&gt;"",4,0)+IF($Q31&lt;&gt;"",4,0)</f>
        <v/>
      </c>
      <c r="T31">
        <f>IF($S31&gt;=70,"High",IF($S31&gt;=40,"Medium","Low"))</f>
        <v/>
      </c>
    </row>
    <row r="32">
      <c r="S32">
        <f>IF(LEN($D32)&gt;=17,15,IF($D32&lt;&gt;"",8,0))+IF($E32&lt;&gt;"",8,0)+IF($F32&lt;&gt;"",8,0)+IF($G32&lt;&gt;"",4,0)+IF($H32&lt;&gt;"",4,0)+IF($I32&lt;&gt;"",4,0)+IF($J32&lt;&gt;"",4,0)+IF($K32&lt;&gt;"",4,0)+IF($L32&lt;&gt;"",10,0)+IF($M32&lt;&gt;"",20,0)+IF($N32&lt;&gt;"",7,0)+IF($O32&lt;&gt;"",4,0)+IF($P32&lt;&gt;"",4,0)+IF($Q32&lt;&gt;"",4,0)</f>
        <v/>
      </c>
      <c r="T32">
        <f>IF($S32&gt;=70,"High",IF($S32&gt;=40,"Medium","Low"))</f>
        <v/>
      </c>
    </row>
    <row r="33">
      <c r="S33">
        <f>IF(LEN($D33)&gt;=17,15,IF($D33&lt;&gt;"",8,0))+IF($E33&lt;&gt;"",8,0)+IF($F33&lt;&gt;"",8,0)+IF($G33&lt;&gt;"",4,0)+IF($H33&lt;&gt;"",4,0)+IF($I33&lt;&gt;"",4,0)+IF($J33&lt;&gt;"",4,0)+IF($K33&lt;&gt;"",4,0)+IF($L33&lt;&gt;"",10,0)+IF($M33&lt;&gt;"",20,0)+IF($N33&lt;&gt;"",7,0)+IF($O33&lt;&gt;"",4,0)+IF($P33&lt;&gt;"",4,0)+IF($Q33&lt;&gt;"",4,0)</f>
        <v/>
      </c>
      <c r="T33">
        <f>IF($S33&gt;=70,"High",IF($S33&gt;=40,"Medium","Low"))</f>
        <v/>
      </c>
    </row>
    <row r="34">
      <c r="S34">
        <f>IF(LEN($D34)&gt;=17,15,IF($D34&lt;&gt;"",8,0))+IF($E34&lt;&gt;"",8,0)+IF($F34&lt;&gt;"",8,0)+IF($G34&lt;&gt;"",4,0)+IF($H34&lt;&gt;"",4,0)+IF($I34&lt;&gt;"",4,0)+IF($J34&lt;&gt;"",4,0)+IF($K34&lt;&gt;"",4,0)+IF($L34&lt;&gt;"",10,0)+IF($M34&lt;&gt;"",20,0)+IF($N34&lt;&gt;"",7,0)+IF($O34&lt;&gt;"",4,0)+IF($P34&lt;&gt;"",4,0)+IF($Q34&lt;&gt;"",4,0)</f>
        <v/>
      </c>
      <c r="T34">
        <f>IF($S34&gt;=70,"High",IF($S34&gt;=40,"Medium","Low"))</f>
        <v/>
      </c>
    </row>
    <row r="35">
      <c r="S35">
        <f>IF(LEN($D35)&gt;=17,15,IF($D35&lt;&gt;"",8,0))+IF($E35&lt;&gt;"",8,0)+IF($F35&lt;&gt;"",8,0)+IF($G35&lt;&gt;"",4,0)+IF($H35&lt;&gt;"",4,0)+IF($I35&lt;&gt;"",4,0)+IF($J35&lt;&gt;"",4,0)+IF($K35&lt;&gt;"",4,0)+IF($L35&lt;&gt;"",10,0)+IF($M35&lt;&gt;"",20,0)+IF($N35&lt;&gt;"",7,0)+IF($O35&lt;&gt;"",4,0)+IF($P35&lt;&gt;"",4,0)+IF($Q35&lt;&gt;"",4,0)</f>
        <v/>
      </c>
      <c r="T35">
        <f>IF($S35&gt;=70,"High",IF($S35&gt;=40,"Medium","Low"))</f>
        <v/>
      </c>
    </row>
    <row r="36">
      <c r="S36">
        <f>IF(LEN($D36)&gt;=17,15,IF($D36&lt;&gt;"",8,0))+IF($E36&lt;&gt;"",8,0)+IF($F36&lt;&gt;"",8,0)+IF($G36&lt;&gt;"",4,0)+IF($H36&lt;&gt;"",4,0)+IF($I36&lt;&gt;"",4,0)+IF($J36&lt;&gt;"",4,0)+IF($K36&lt;&gt;"",4,0)+IF($L36&lt;&gt;"",10,0)+IF($M36&lt;&gt;"",20,0)+IF($N36&lt;&gt;"",7,0)+IF($O36&lt;&gt;"",4,0)+IF($P36&lt;&gt;"",4,0)+IF($Q36&lt;&gt;"",4,0)</f>
        <v/>
      </c>
      <c r="T36">
        <f>IF($S36&gt;=70,"High",IF($S36&gt;=40,"Medium","Low"))</f>
        <v/>
      </c>
    </row>
    <row r="37">
      <c r="S37">
        <f>IF(LEN($D37)&gt;=17,15,IF($D37&lt;&gt;"",8,0))+IF($E37&lt;&gt;"",8,0)+IF($F37&lt;&gt;"",8,0)+IF($G37&lt;&gt;"",4,0)+IF($H37&lt;&gt;"",4,0)+IF($I37&lt;&gt;"",4,0)+IF($J37&lt;&gt;"",4,0)+IF($K37&lt;&gt;"",4,0)+IF($L37&lt;&gt;"",10,0)+IF($M37&lt;&gt;"",20,0)+IF($N37&lt;&gt;"",7,0)+IF($O37&lt;&gt;"",4,0)+IF($P37&lt;&gt;"",4,0)+IF($Q37&lt;&gt;"",4,0)</f>
        <v/>
      </c>
      <c r="T37">
        <f>IF($S37&gt;=70,"High",IF($S37&gt;=40,"Medium","Low"))</f>
        <v/>
      </c>
    </row>
    <row r="38">
      <c r="S38">
        <f>IF(LEN($D38)&gt;=17,15,IF($D38&lt;&gt;"",8,0))+IF($E38&lt;&gt;"",8,0)+IF($F38&lt;&gt;"",8,0)+IF($G38&lt;&gt;"",4,0)+IF($H38&lt;&gt;"",4,0)+IF($I38&lt;&gt;"",4,0)+IF($J38&lt;&gt;"",4,0)+IF($K38&lt;&gt;"",4,0)+IF($L38&lt;&gt;"",10,0)+IF($M38&lt;&gt;"",20,0)+IF($N38&lt;&gt;"",7,0)+IF($O38&lt;&gt;"",4,0)+IF($P38&lt;&gt;"",4,0)+IF($Q38&lt;&gt;"",4,0)</f>
        <v/>
      </c>
      <c r="T38">
        <f>IF($S38&gt;=70,"High",IF($S38&gt;=40,"Medium","Low"))</f>
        <v/>
      </c>
    </row>
    <row r="39">
      <c r="S39">
        <f>IF(LEN($D39)&gt;=17,15,IF($D39&lt;&gt;"",8,0))+IF($E39&lt;&gt;"",8,0)+IF($F39&lt;&gt;"",8,0)+IF($G39&lt;&gt;"",4,0)+IF($H39&lt;&gt;"",4,0)+IF($I39&lt;&gt;"",4,0)+IF($J39&lt;&gt;"",4,0)+IF($K39&lt;&gt;"",4,0)+IF($L39&lt;&gt;"",10,0)+IF($M39&lt;&gt;"",20,0)+IF($N39&lt;&gt;"",7,0)+IF($O39&lt;&gt;"",4,0)+IF($P39&lt;&gt;"",4,0)+IF($Q39&lt;&gt;"",4,0)</f>
        <v/>
      </c>
      <c r="T39">
        <f>IF($S39&gt;=70,"High",IF($S39&gt;=40,"Medium","Low"))</f>
        <v/>
      </c>
    </row>
    <row r="40">
      <c r="S40">
        <f>IF(LEN($D40)&gt;=17,15,IF($D40&lt;&gt;"",8,0))+IF($E40&lt;&gt;"",8,0)+IF($F40&lt;&gt;"",8,0)+IF($G40&lt;&gt;"",4,0)+IF($H40&lt;&gt;"",4,0)+IF($I40&lt;&gt;"",4,0)+IF($J40&lt;&gt;"",4,0)+IF($K40&lt;&gt;"",4,0)+IF($L40&lt;&gt;"",10,0)+IF($M40&lt;&gt;"",20,0)+IF($N40&lt;&gt;"",7,0)+IF($O40&lt;&gt;"",4,0)+IF($P40&lt;&gt;"",4,0)+IF($Q40&lt;&gt;"",4,0)</f>
        <v/>
      </c>
      <c r="T40">
        <f>IF($S40&gt;=70,"High",IF($S40&gt;=40,"Medium","Low"))</f>
        <v/>
      </c>
    </row>
    <row r="41">
      <c r="S41">
        <f>IF(LEN($D41)&gt;=17,15,IF($D41&lt;&gt;"",8,0))+IF($E41&lt;&gt;"",8,0)+IF($F41&lt;&gt;"",8,0)+IF($G41&lt;&gt;"",4,0)+IF($H41&lt;&gt;"",4,0)+IF($I41&lt;&gt;"",4,0)+IF($J41&lt;&gt;"",4,0)+IF($K41&lt;&gt;"",4,0)+IF($L41&lt;&gt;"",10,0)+IF($M41&lt;&gt;"",20,0)+IF($N41&lt;&gt;"",7,0)+IF($O41&lt;&gt;"",4,0)+IF($P41&lt;&gt;"",4,0)+IF($Q41&lt;&gt;"",4,0)</f>
        <v/>
      </c>
      <c r="T41">
        <f>IF($S41&gt;=70,"High",IF($S41&gt;=40,"Medium","Low"))</f>
        <v/>
      </c>
    </row>
    <row r="42">
      <c r="S42">
        <f>IF(LEN($D42)&gt;=17,15,IF($D42&lt;&gt;"",8,0))+IF($E42&lt;&gt;"",8,0)+IF($F42&lt;&gt;"",8,0)+IF($G42&lt;&gt;"",4,0)+IF($H42&lt;&gt;"",4,0)+IF($I42&lt;&gt;"",4,0)+IF($J42&lt;&gt;"",4,0)+IF($K42&lt;&gt;"",4,0)+IF($L42&lt;&gt;"",10,0)+IF($M42&lt;&gt;"",20,0)+IF($N42&lt;&gt;"",7,0)+IF($O42&lt;&gt;"",4,0)+IF($P42&lt;&gt;"",4,0)+IF($Q42&lt;&gt;"",4,0)</f>
        <v/>
      </c>
      <c r="T42">
        <f>IF($S42&gt;=70,"High",IF($S42&gt;=40,"Medium","Low"))</f>
        <v/>
      </c>
    </row>
    <row r="43">
      <c r="S43">
        <f>IF(LEN($D43)&gt;=17,15,IF($D43&lt;&gt;"",8,0))+IF($E43&lt;&gt;"",8,0)+IF($F43&lt;&gt;"",8,0)+IF($G43&lt;&gt;"",4,0)+IF($H43&lt;&gt;"",4,0)+IF($I43&lt;&gt;"",4,0)+IF($J43&lt;&gt;"",4,0)+IF($K43&lt;&gt;"",4,0)+IF($L43&lt;&gt;"",10,0)+IF($M43&lt;&gt;"",20,0)+IF($N43&lt;&gt;"",7,0)+IF($O43&lt;&gt;"",4,0)+IF($P43&lt;&gt;"",4,0)+IF($Q43&lt;&gt;"",4,0)</f>
        <v/>
      </c>
      <c r="T43">
        <f>IF($S43&gt;=70,"High",IF($S43&gt;=40,"Medium","Low"))</f>
        <v/>
      </c>
    </row>
    <row r="44">
      <c r="S44">
        <f>IF(LEN($D44)&gt;=17,15,IF($D44&lt;&gt;"",8,0))+IF($E44&lt;&gt;"",8,0)+IF($F44&lt;&gt;"",8,0)+IF($G44&lt;&gt;"",4,0)+IF($H44&lt;&gt;"",4,0)+IF($I44&lt;&gt;"",4,0)+IF($J44&lt;&gt;"",4,0)+IF($K44&lt;&gt;"",4,0)+IF($L44&lt;&gt;"",10,0)+IF($M44&lt;&gt;"",20,0)+IF($N44&lt;&gt;"",7,0)+IF($O44&lt;&gt;"",4,0)+IF($P44&lt;&gt;"",4,0)+IF($Q44&lt;&gt;"",4,0)</f>
        <v/>
      </c>
      <c r="T44">
        <f>IF($S44&gt;=70,"High",IF($S44&gt;=40,"Medium","Low"))</f>
        <v/>
      </c>
    </row>
    <row r="45">
      <c r="S45">
        <f>IF(LEN($D45)&gt;=17,15,IF($D45&lt;&gt;"",8,0))+IF($E45&lt;&gt;"",8,0)+IF($F45&lt;&gt;"",8,0)+IF($G45&lt;&gt;"",4,0)+IF($H45&lt;&gt;"",4,0)+IF($I45&lt;&gt;"",4,0)+IF($J45&lt;&gt;"",4,0)+IF($K45&lt;&gt;"",4,0)+IF($L45&lt;&gt;"",10,0)+IF($M45&lt;&gt;"",20,0)+IF($N45&lt;&gt;"",7,0)+IF($O45&lt;&gt;"",4,0)+IF($P45&lt;&gt;"",4,0)+IF($Q45&lt;&gt;"",4,0)</f>
        <v/>
      </c>
      <c r="T45">
        <f>IF($S45&gt;=70,"High",IF($S45&gt;=40,"Medium","Low"))</f>
        <v/>
      </c>
    </row>
    <row r="46">
      <c r="S46">
        <f>IF(LEN($D46)&gt;=17,15,IF($D46&lt;&gt;"",8,0))+IF($E46&lt;&gt;"",8,0)+IF($F46&lt;&gt;"",8,0)+IF($G46&lt;&gt;"",4,0)+IF($H46&lt;&gt;"",4,0)+IF($I46&lt;&gt;"",4,0)+IF($J46&lt;&gt;"",4,0)+IF($K46&lt;&gt;"",4,0)+IF($L46&lt;&gt;"",10,0)+IF($M46&lt;&gt;"",20,0)+IF($N46&lt;&gt;"",7,0)+IF($O46&lt;&gt;"",4,0)+IF($P46&lt;&gt;"",4,0)+IF($Q46&lt;&gt;"",4,0)</f>
        <v/>
      </c>
      <c r="T46">
        <f>IF($S46&gt;=70,"High",IF($S46&gt;=40,"Medium","Low"))</f>
        <v/>
      </c>
    </row>
    <row r="47">
      <c r="S47">
        <f>IF(LEN($D47)&gt;=17,15,IF($D47&lt;&gt;"",8,0))+IF($E47&lt;&gt;"",8,0)+IF($F47&lt;&gt;"",8,0)+IF($G47&lt;&gt;"",4,0)+IF($H47&lt;&gt;"",4,0)+IF($I47&lt;&gt;"",4,0)+IF($J47&lt;&gt;"",4,0)+IF($K47&lt;&gt;"",4,0)+IF($L47&lt;&gt;"",10,0)+IF($M47&lt;&gt;"",20,0)+IF($N47&lt;&gt;"",7,0)+IF($O47&lt;&gt;"",4,0)+IF($P47&lt;&gt;"",4,0)+IF($Q47&lt;&gt;"",4,0)</f>
        <v/>
      </c>
      <c r="T47">
        <f>IF($S47&gt;=70,"High",IF($S47&gt;=40,"Medium","Low"))</f>
        <v/>
      </c>
    </row>
    <row r="48">
      <c r="S48">
        <f>IF(LEN($D48)&gt;=17,15,IF($D48&lt;&gt;"",8,0))+IF($E48&lt;&gt;"",8,0)+IF($F48&lt;&gt;"",8,0)+IF($G48&lt;&gt;"",4,0)+IF($H48&lt;&gt;"",4,0)+IF($I48&lt;&gt;"",4,0)+IF($J48&lt;&gt;"",4,0)+IF($K48&lt;&gt;"",4,0)+IF($L48&lt;&gt;"",10,0)+IF($M48&lt;&gt;"",20,0)+IF($N48&lt;&gt;"",7,0)+IF($O48&lt;&gt;"",4,0)+IF($P48&lt;&gt;"",4,0)+IF($Q48&lt;&gt;"",4,0)</f>
        <v/>
      </c>
      <c r="T48">
        <f>IF($S48&gt;=70,"High",IF($S48&gt;=40,"Medium","Low"))</f>
        <v/>
      </c>
    </row>
    <row r="49">
      <c r="S49">
        <f>IF(LEN($D49)&gt;=17,15,IF($D49&lt;&gt;"",8,0))+IF($E49&lt;&gt;"",8,0)+IF($F49&lt;&gt;"",8,0)+IF($G49&lt;&gt;"",4,0)+IF($H49&lt;&gt;"",4,0)+IF($I49&lt;&gt;"",4,0)+IF($J49&lt;&gt;"",4,0)+IF($K49&lt;&gt;"",4,0)+IF($L49&lt;&gt;"",10,0)+IF($M49&lt;&gt;"",20,0)+IF($N49&lt;&gt;"",7,0)+IF($O49&lt;&gt;"",4,0)+IF($P49&lt;&gt;"",4,0)+IF($Q49&lt;&gt;"",4,0)</f>
        <v/>
      </c>
      <c r="T49">
        <f>IF($S49&gt;=70,"High",IF($S49&gt;=40,"Medium","Low"))</f>
        <v/>
      </c>
    </row>
    <row r="50">
      <c r="S50">
        <f>IF(LEN($D50)&gt;=17,15,IF($D50&lt;&gt;"",8,0))+IF($E50&lt;&gt;"",8,0)+IF($F50&lt;&gt;"",8,0)+IF($G50&lt;&gt;"",4,0)+IF($H50&lt;&gt;"",4,0)+IF($I50&lt;&gt;"",4,0)+IF($J50&lt;&gt;"",4,0)+IF($K50&lt;&gt;"",4,0)+IF($L50&lt;&gt;"",10,0)+IF($M50&lt;&gt;"",20,0)+IF($N50&lt;&gt;"",7,0)+IF($O50&lt;&gt;"",4,0)+IF($P50&lt;&gt;"",4,0)+IF($Q50&lt;&gt;"",4,0)</f>
        <v/>
      </c>
      <c r="T50">
        <f>IF($S50&gt;=70,"High",IF($S50&gt;=40,"Medium","Low"))</f>
        <v/>
      </c>
    </row>
    <row r="51">
      <c r="S51">
        <f>IF(LEN($D51)&gt;=17,15,IF($D51&lt;&gt;"",8,0))+IF($E51&lt;&gt;"",8,0)+IF($F51&lt;&gt;"",8,0)+IF($G51&lt;&gt;"",4,0)+IF($H51&lt;&gt;"",4,0)+IF($I51&lt;&gt;"",4,0)+IF($J51&lt;&gt;"",4,0)+IF($K51&lt;&gt;"",4,0)+IF($L51&lt;&gt;"",10,0)+IF($M51&lt;&gt;"",20,0)+IF($N51&lt;&gt;"",7,0)+IF($O51&lt;&gt;"",4,0)+IF($P51&lt;&gt;"",4,0)+IF($Q51&lt;&gt;"",4,0)</f>
        <v/>
      </c>
      <c r="T51">
        <f>IF($S51&gt;=70,"High",IF($S51&gt;=40,"Medium","Low"))</f>
        <v/>
      </c>
    </row>
    <row r="52">
      <c r="S52">
        <f>IF(LEN($D52)&gt;=17,15,IF($D52&lt;&gt;"",8,0))+IF($E52&lt;&gt;"",8,0)+IF($F52&lt;&gt;"",8,0)+IF($G52&lt;&gt;"",4,0)+IF($H52&lt;&gt;"",4,0)+IF($I52&lt;&gt;"",4,0)+IF($J52&lt;&gt;"",4,0)+IF($K52&lt;&gt;"",4,0)+IF($L52&lt;&gt;"",10,0)+IF($M52&lt;&gt;"",20,0)+IF($N52&lt;&gt;"",7,0)+IF($O52&lt;&gt;"",4,0)+IF($P52&lt;&gt;"",4,0)+IF($Q52&lt;&gt;"",4,0)</f>
        <v/>
      </c>
      <c r="T52">
        <f>IF($S52&gt;=70,"High",IF($S52&gt;=40,"Medium","Low"))</f>
        <v/>
      </c>
    </row>
    <row r="53">
      <c r="S53">
        <f>IF(LEN($D53)&gt;=17,15,IF($D53&lt;&gt;"",8,0))+IF($E53&lt;&gt;"",8,0)+IF($F53&lt;&gt;"",8,0)+IF($G53&lt;&gt;"",4,0)+IF($H53&lt;&gt;"",4,0)+IF($I53&lt;&gt;"",4,0)+IF($J53&lt;&gt;"",4,0)+IF($K53&lt;&gt;"",4,0)+IF($L53&lt;&gt;"",10,0)+IF($M53&lt;&gt;"",20,0)+IF($N53&lt;&gt;"",7,0)+IF($O53&lt;&gt;"",4,0)+IF($P53&lt;&gt;"",4,0)+IF($Q53&lt;&gt;"",4,0)</f>
        <v/>
      </c>
      <c r="T53">
        <f>IF($S53&gt;=70,"High",IF($S53&gt;=40,"Medium","Low"))</f>
        <v/>
      </c>
    </row>
    <row r="54">
      <c r="S54">
        <f>IF(LEN($D54)&gt;=17,15,IF($D54&lt;&gt;"",8,0))+IF($E54&lt;&gt;"",8,0)+IF($F54&lt;&gt;"",8,0)+IF($G54&lt;&gt;"",4,0)+IF($H54&lt;&gt;"",4,0)+IF($I54&lt;&gt;"",4,0)+IF($J54&lt;&gt;"",4,0)+IF($K54&lt;&gt;"",4,0)+IF($L54&lt;&gt;"",10,0)+IF($M54&lt;&gt;"",20,0)+IF($N54&lt;&gt;"",7,0)+IF($O54&lt;&gt;"",4,0)+IF($P54&lt;&gt;"",4,0)+IF($Q54&lt;&gt;"",4,0)</f>
        <v/>
      </c>
      <c r="T54">
        <f>IF($S54&gt;=70,"High",IF($S54&gt;=40,"Medium","Low"))</f>
        <v/>
      </c>
    </row>
    <row r="55">
      <c r="S55">
        <f>IF(LEN($D55)&gt;=17,15,IF($D55&lt;&gt;"",8,0))+IF($E55&lt;&gt;"",8,0)+IF($F55&lt;&gt;"",8,0)+IF($G55&lt;&gt;"",4,0)+IF($H55&lt;&gt;"",4,0)+IF($I55&lt;&gt;"",4,0)+IF($J55&lt;&gt;"",4,0)+IF($K55&lt;&gt;"",4,0)+IF($L55&lt;&gt;"",10,0)+IF($M55&lt;&gt;"",20,0)+IF($N55&lt;&gt;"",7,0)+IF($O55&lt;&gt;"",4,0)+IF($P55&lt;&gt;"",4,0)+IF($Q55&lt;&gt;"",4,0)</f>
        <v/>
      </c>
      <c r="T55">
        <f>IF($S55&gt;=70,"High",IF($S55&gt;=40,"Medium","Low"))</f>
        <v/>
      </c>
    </row>
    <row r="56">
      <c r="S56">
        <f>IF(LEN($D56)&gt;=17,15,IF($D56&lt;&gt;"",8,0))+IF($E56&lt;&gt;"",8,0)+IF($F56&lt;&gt;"",8,0)+IF($G56&lt;&gt;"",4,0)+IF($H56&lt;&gt;"",4,0)+IF($I56&lt;&gt;"",4,0)+IF($J56&lt;&gt;"",4,0)+IF($K56&lt;&gt;"",4,0)+IF($L56&lt;&gt;"",10,0)+IF($M56&lt;&gt;"",20,0)+IF($N56&lt;&gt;"",7,0)+IF($O56&lt;&gt;"",4,0)+IF($P56&lt;&gt;"",4,0)+IF($Q56&lt;&gt;"",4,0)</f>
        <v/>
      </c>
      <c r="T56">
        <f>IF($S56&gt;=70,"High",IF($S56&gt;=40,"Medium","Low"))</f>
        <v/>
      </c>
    </row>
    <row r="57">
      <c r="S57">
        <f>IF(LEN($D57)&gt;=17,15,IF($D57&lt;&gt;"",8,0))+IF($E57&lt;&gt;"",8,0)+IF($F57&lt;&gt;"",8,0)+IF($G57&lt;&gt;"",4,0)+IF($H57&lt;&gt;"",4,0)+IF($I57&lt;&gt;"",4,0)+IF($J57&lt;&gt;"",4,0)+IF($K57&lt;&gt;"",4,0)+IF($L57&lt;&gt;"",10,0)+IF($M57&lt;&gt;"",20,0)+IF($N57&lt;&gt;"",7,0)+IF($O57&lt;&gt;"",4,0)+IF($P57&lt;&gt;"",4,0)+IF($Q57&lt;&gt;"",4,0)</f>
        <v/>
      </c>
      <c r="T57">
        <f>IF($S57&gt;=70,"High",IF($S57&gt;=40,"Medium","Low"))</f>
        <v/>
      </c>
    </row>
    <row r="58">
      <c r="S58">
        <f>IF(LEN($D58)&gt;=17,15,IF($D58&lt;&gt;"",8,0))+IF($E58&lt;&gt;"",8,0)+IF($F58&lt;&gt;"",8,0)+IF($G58&lt;&gt;"",4,0)+IF($H58&lt;&gt;"",4,0)+IF($I58&lt;&gt;"",4,0)+IF($J58&lt;&gt;"",4,0)+IF($K58&lt;&gt;"",4,0)+IF($L58&lt;&gt;"",10,0)+IF($M58&lt;&gt;"",20,0)+IF($N58&lt;&gt;"",7,0)+IF($O58&lt;&gt;"",4,0)+IF($P58&lt;&gt;"",4,0)+IF($Q58&lt;&gt;"",4,0)</f>
        <v/>
      </c>
      <c r="T58">
        <f>IF($S58&gt;=70,"High",IF($S58&gt;=40,"Medium","Low"))</f>
        <v/>
      </c>
    </row>
    <row r="59">
      <c r="S59">
        <f>IF(LEN($D59)&gt;=17,15,IF($D59&lt;&gt;"",8,0))+IF($E59&lt;&gt;"",8,0)+IF($F59&lt;&gt;"",8,0)+IF($G59&lt;&gt;"",4,0)+IF($H59&lt;&gt;"",4,0)+IF($I59&lt;&gt;"",4,0)+IF($J59&lt;&gt;"",4,0)+IF($K59&lt;&gt;"",4,0)+IF($L59&lt;&gt;"",10,0)+IF($M59&lt;&gt;"",20,0)+IF($N59&lt;&gt;"",7,0)+IF($O59&lt;&gt;"",4,0)+IF($P59&lt;&gt;"",4,0)+IF($Q59&lt;&gt;"",4,0)</f>
        <v/>
      </c>
      <c r="T59">
        <f>IF($S59&gt;=70,"High",IF($S59&gt;=40,"Medium","Low"))</f>
        <v/>
      </c>
    </row>
    <row r="60">
      <c r="S60">
        <f>IF(LEN($D60)&gt;=17,15,IF($D60&lt;&gt;"",8,0))+IF($E60&lt;&gt;"",8,0)+IF($F60&lt;&gt;"",8,0)+IF($G60&lt;&gt;"",4,0)+IF($H60&lt;&gt;"",4,0)+IF($I60&lt;&gt;"",4,0)+IF($J60&lt;&gt;"",4,0)+IF($K60&lt;&gt;"",4,0)+IF($L60&lt;&gt;"",10,0)+IF($M60&lt;&gt;"",20,0)+IF($N60&lt;&gt;"",7,0)+IF($O60&lt;&gt;"",4,0)+IF($P60&lt;&gt;"",4,0)+IF($Q60&lt;&gt;"",4,0)</f>
        <v/>
      </c>
      <c r="T60">
        <f>IF($S60&gt;=70,"High",IF($S60&gt;=40,"Medium","Low"))</f>
        <v/>
      </c>
    </row>
    <row r="61">
      <c r="S61">
        <f>IF(LEN($D61)&gt;=17,15,IF($D61&lt;&gt;"",8,0))+IF($E61&lt;&gt;"",8,0)+IF($F61&lt;&gt;"",8,0)+IF($G61&lt;&gt;"",4,0)+IF($H61&lt;&gt;"",4,0)+IF($I61&lt;&gt;"",4,0)+IF($J61&lt;&gt;"",4,0)+IF($K61&lt;&gt;"",4,0)+IF($L61&lt;&gt;"",10,0)+IF($M61&lt;&gt;"",20,0)+IF($N61&lt;&gt;"",7,0)+IF($O61&lt;&gt;"",4,0)+IF($P61&lt;&gt;"",4,0)+IF($Q61&lt;&gt;"",4,0)</f>
        <v/>
      </c>
      <c r="T61">
        <f>IF($S61&gt;=70,"High",IF($S61&gt;=40,"Medium","Low"))</f>
        <v/>
      </c>
    </row>
    <row r="62">
      <c r="S62">
        <f>IF(LEN($D62)&gt;=17,15,IF($D62&lt;&gt;"",8,0))+IF($E62&lt;&gt;"",8,0)+IF($F62&lt;&gt;"",8,0)+IF($G62&lt;&gt;"",4,0)+IF($H62&lt;&gt;"",4,0)+IF($I62&lt;&gt;"",4,0)+IF($J62&lt;&gt;"",4,0)+IF($K62&lt;&gt;"",4,0)+IF($L62&lt;&gt;"",10,0)+IF($M62&lt;&gt;"",20,0)+IF($N62&lt;&gt;"",7,0)+IF($O62&lt;&gt;"",4,0)+IF($P62&lt;&gt;"",4,0)+IF($Q62&lt;&gt;"",4,0)</f>
        <v/>
      </c>
      <c r="T62">
        <f>IF($S62&gt;=70,"High",IF($S62&gt;=40,"Medium","Low"))</f>
        <v/>
      </c>
    </row>
    <row r="63">
      <c r="S63">
        <f>IF(LEN($D63)&gt;=17,15,IF($D63&lt;&gt;"",8,0))+IF($E63&lt;&gt;"",8,0)+IF($F63&lt;&gt;"",8,0)+IF($G63&lt;&gt;"",4,0)+IF($H63&lt;&gt;"",4,0)+IF($I63&lt;&gt;"",4,0)+IF($J63&lt;&gt;"",4,0)+IF($K63&lt;&gt;"",4,0)+IF($L63&lt;&gt;"",10,0)+IF($M63&lt;&gt;"",20,0)+IF($N63&lt;&gt;"",7,0)+IF($O63&lt;&gt;"",4,0)+IF($P63&lt;&gt;"",4,0)+IF($Q63&lt;&gt;"",4,0)</f>
        <v/>
      </c>
      <c r="T63">
        <f>IF($S63&gt;=70,"High",IF($S63&gt;=40,"Medium","Low"))</f>
        <v/>
      </c>
    </row>
    <row r="64">
      <c r="S64">
        <f>IF(LEN($D64)&gt;=17,15,IF($D64&lt;&gt;"",8,0))+IF($E64&lt;&gt;"",8,0)+IF($F64&lt;&gt;"",8,0)+IF($G64&lt;&gt;"",4,0)+IF($H64&lt;&gt;"",4,0)+IF($I64&lt;&gt;"",4,0)+IF($J64&lt;&gt;"",4,0)+IF($K64&lt;&gt;"",4,0)+IF($L64&lt;&gt;"",10,0)+IF($M64&lt;&gt;"",20,0)+IF($N64&lt;&gt;"",7,0)+IF($O64&lt;&gt;"",4,0)+IF($P64&lt;&gt;"",4,0)+IF($Q64&lt;&gt;"",4,0)</f>
        <v/>
      </c>
      <c r="T64">
        <f>IF($S64&gt;=70,"High",IF($S64&gt;=40,"Medium","Low"))</f>
        <v/>
      </c>
    </row>
    <row r="65">
      <c r="S65">
        <f>IF(LEN($D65)&gt;=17,15,IF($D65&lt;&gt;"",8,0))+IF($E65&lt;&gt;"",8,0)+IF($F65&lt;&gt;"",8,0)+IF($G65&lt;&gt;"",4,0)+IF($H65&lt;&gt;"",4,0)+IF($I65&lt;&gt;"",4,0)+IF($J65&lt;&gt;"",4,0)+IF($K65&lt;&gt;"",4,0)+IF($L65&lt;&gt;"",10,0)+IF($M65&lt;&gt;"",20,0)+IF($N65&lt;&gt;"",7,0)+IF($O65&lt;&gt;"",4,0)+IF($P65&lt;&gt;"",4,0)+IF($Q65&lt;&gt;"",4,0)</f>
        <v/>
      </c>
      <c r="T65">
        <f>IF($S65&gt;=70,"High",IF($S65&gt;=40,"Medium","Low"))</f>
        <v/>
      </c>
    </row>
    <row r="66">
      <c r="S66">
        <f>IF(LEN($D66)&gt;=17,15,IF($D66&lt;&gt;"",8,0))+IF($E66&lt;&gt;"",8,0)+IF($F66&lt;&gt;"",8,0)+IF($G66&lt;&gt;"",4,0)+IF($H66&lt;&gt;"",4,0)+IF($I66&lt;&gt;"",4,0)+IF($J66&lt;&gt;"",4,0)+IF($K66&lt;&gt;"",4,0)+IF($L66&lt;&gt;"",10,0)+IF($M66&lt;&gt;"",20,0)+IF($N66&lt;&gt;"",7,0)+IF($O66&lt;&gt;"",4,0)+IF($P66&lt;&gt;"",4,0)+IF($Q66&lt;&gt;"",4,0)</f>
        <v/>
      </c>
      <c r="T66">
        <f>IF($S66&gt;=70,"High",IF($S66&gt;=40,"Medium","Low"))</f>
        <v/>
      </c>
    </row>
    <row r="67">
      <c r="S67">
        <f>IF(LEN($D67)&gt;=17,15,IF($D67&lt;&gt;"",8,0))+IF($E67&lt;&gt;"",8,0)+IF($F67&lt;&gt;"",8,0)+IF($G67&lt;&gt;"",4,0)+IF($H67&lt;&gt;"",4,0)+IF($I67&lt;&gt;"",4,0)+IF($J67&lt;&gt;"",4,0)+IF($K67&lt;&gt;"",4,0)+IF($L67&lt;&gt;"",10,0)+IF($M67&lt;&gt;"",20,0)+IF($N67&lt;&gt;"",7,0)+IF($O67&lt;&gt;"",4,0)+IF($P67&lt;&gt;"",4,0)+IF($Q67&lt;&gt;"",4,0)</f>
        <v/>
      </c>
      <c r="T67">
        <f>IF($S67&gt;=70,"High",IF($S67&gt;=40,"Medium","Low"))</f>
        <v/>
      </c>
    </row>
    <row r="68">
      <c r="S68">
        <f>IF(LEN($D68)&gt;=17,15,IF($D68&lt;&gt;"",8,0))+IF($E68&lt;&gt;"",8,0)+IF($F68&lt;&gt;"",8,0)+IF($G68&lt;&gt;"",4,0)+IF($H68&lt;&gt;"",4,0)+IF($I68&lt;&gt;"",4,0)+IF($J68&lt;&gt;"",4,0)+IF($K68&lt;&gt;"",4,0)+IF($L68&lt;&gt;"",10,0)+IF($M68&lt;&gt;"",20,0)+IF($N68&lt;&gt;"",7,0)+IF($O68&lt;&gt;"",4,0)+IF($P68&lt;&gt;"",4,0)+IF($Q68&lt;&gt;"",4,0)</f>
        <v/>
      </c>
      <c r="T68">
        <f>IF($S68&gt;=70,"High",IF($S68&gt;=40,"Medium","Low"))</f>
        <v/>
      </c>
    </row>
    <row r="69">
      <c r="S69">
        <f>IF(LEN($D69)&gt;=17,15,IF($D69&lt;&gt;"",8,0))+IF($E69&lt;&gt;"",8,0)+IF($F69&lt;&gt;"",8,0)+IF($G69&lt;&gt;"",4,0)+IF($H69&lt;&gt;"",4,0)+IF($I69&lt;&gt;"",4,0)+IF($J69&lt;&gt;"",4,0)+IF($K69&lt;&gt;"",4,0)+IF($L69&lt;&gt;"",10,0)+IF($M69&lt;&gt;"",20,0)+IF($N69&lt;&gt;"",7,0)+IF($O69&lt;&gt;"",4,0)+IF($P69&lt;&gt;"",4,0)+IF($Q69&lt;&gt;"",4,0)</f>
        <v/>
      </c>
      <c r="T69">
        <f>IF($S69&gt;=70,"High",IF($S69&gt;=40,"Medium","Low"))</f>
        <v/>
      </c>
    </row>
    <row r="70">
      <c r="S70">
        <f>IF(LEN($D70)&gt;=17,15,IF($D70&lt;&gt;"",8,0))+IF($E70&lt;&gt;"",8,0)+IF($F70&lt;&gt;"",8,0)+IF($G70&lt;&gt;"",4,0)+IF($H70&lt;&gt;"",4,0)+IF($I70&lt;&gt;"",4,0)+IF($J70&lt;&gt;"",4,0)+IF($K70&lt;&gt;"",4,0)+IF($L70&lt;&gt;"",10,0)+IF($M70&lt;&gt;"",20,0)+IF($N70&lt;&gt;"",7,0)+IF($O70&lt;&gt;"",4,0)+IF($P70&lt;&gt;"",4,0)+IF($Q70&lt;&gt;"",4,0)</f>
        <v/>
      </c>
      <c r="T70">
        <f>IF($S70&gt;=70,"High",IF($S70&gt;=40,"Medium","Low"))</f>
        <v/>
      </c>
    </row>
    <row r="71">
      <c r="S71">
        <f>IF(LEN($D71)&gt;=17,15,IF($D71&lt;&gt;"",8,0))+IF($E71&lt;&gt;"",8,0)+IF($F71&lt;&gt;"",8,0)+IF($G71&lt;&gt;"",4,0)+IF($H71&lt;&gt;"",4,0)+IF($I71&lt;&gt;"",4,0)+IF($J71&lt;&gt;"",4,0)+IF($K71&lt;&gt;"",4,0)+IF($L71&lt;&gt;"",10,0)+IF($M71&lt;&gt;"",20,0)+IF($N71&lt;&gt;"",7,0)+IF($O71&lt;&gt;"",4,0)+IF($P71&lt;&gt;"",4,0)+IF($Q71&lt;&gt;"",4,0)</f>
        <v/>
      </c>
      <c r="T71">
        <f>IF($S71&gt;=70,"High",IF($S71&gt;=40,"Medium","Low"))</f>
        <v/>
      </c>
    </row>
    <row r="72">
      <c r="S72">
        <f>IF(LEN($D72)&gt;=17,15,IF($D72&lt;&gt;"",8,0))+IF($E72&lt;&gt;"",8,0)+IF($F72&lt;&gt;"",8,0)+IF($G72&lt;&gt;"",4,0)+IF($H72&lt;&gt;"",4,0)+IF($I72&lt;&gt;"",4,0)+IF($J72&lt;&gt;"",4,0)+IF($K72&lt;&gt;"",4,0)+IF($L72&lt;&gt;"",10,0)+IF($M72&lt;&gt;"",20,0)+IF($N72&lt;&gt;"",7,0)+IF($O72&lt;&gt;"",4,0)+IF($P72&lt;&gt;"",4,0)+IF($Q72&lt;&gt;"",4,0)</f>
        <v/>
      </c>
      <c r="T72">
        <f>IF($S72&gt;=70,"High",IF($S72&gt;=40,"Medium","Low"))</f>
        <v/>
      </c>
    </row>
    <row r="73">
      <c r="S73">
        <f>IF(LEN($D73)&gt;=17,15,IF($D73&lt;&gt;"",8,0))+IF($E73&lt;&gt;"",8,0)+IF($F73&lt;&gt;"",8,0)+IF($G73&lt;&gt;"",4,0)+IF($H73&lt;&gt;"",4,0)+IF($I73&lt;&gt;"",4,0)+IF($J73&lt;&gt;"",4,0)+IF($K73&lt;&gt;"",4,0)+IF($L73&lt;&gt;"",10,0)+IF($M73&lt;&gt;"",20,0)+IF($N73&lt;&gt;"",7,0)+IF($O73&lt;&gt;"",4,0)+IF($P73&lt;&gt;"",4,0)+IF($Q73&lt;&gt;"",4,0)</f>
        <v/>
      </c>
      <c r="T73">
        <f>IF($S73&gt;=70,"High",IF($S73&gt;=40,"Medium","Low"))</f>
        <v/>
      </c>
    </row>
    <row r="74">
      <c r="S74">
        <f>IF(LEN($D74)&gt;=17,15,IF($D74&lt;&gt;"",8,0))+IF($E74&lt;&gt;"",8,0)+IF($F74&lt;&gt;"",8,0)+IF($G74&lt;&gt;"",4,0)+IF($H74&lt;&gt;"",4,0)+IF($I74&lt;&gt;"",4,0)+IF($J74&lt;&gt;"",4,0)+IF($K74&lt;&gt;"",4,0)+IF($L74&lt;&gt;"",10,0)+IF($M74&lt;&gt;"",20,0)+IF($N74&lt;&gt;"",7,0)+IF($O74&lt;&gt;"",4,0)+IF($P74&lt;&gt;"",4,0)+IF($Q74&lt;&gt;"",4,0)</f>
        <v/>
      </c>
      <c r="T74">
        <f>IF($S74&gt;=70,"High",IF($S74&gt;=40,"Medium","Low"))</f>
        <v/>
      </c>
    </row>
    <row r="75">
      <c r="S75">
        <f>IF(LEN($D75)&gt;=17,15,IF($D75&lt;&gt;"",8,0))+IF($E75&lt;&gt;"",8,0)+IF($F75&lt;&gt;"",8,0)+IF($G75&lt;&gt;"",4,0)+IF($H75&lt;&gt;"",4,0)+IF($I75&lt;&gt;"",4,0)+IF($J75&lt;&gt;"",4,0)+IF($K75&lt;&gt;"",4,0)+IF($L75&lt;&gt;"",10,0)+IF($M75&lt;&gt;"",20,0)+IF($N75&lt;&gt;"",7,0)+IF($O75&lt;&gt;"",4,0)+IF($P75&lt;&gt;"",4,0)+IF($Q75&lt;&gt;"",4,0)</f>
        <v/>
      </c>
      <c r="T75">
        <f>IF($S75&gt;=70,"High",IF($S75&gt;=40,"Medium","Low"))</f>
        <v/>
      </c>
    </row>
    <row r="76">
      <c r="S76">
        <f>IF(LEN($D76)&gt;=17,15,IF($D76&lt;&gt;"",8,0))+IF($E76&lt;&gt;"",8,0)+IF($F76&lt;&gt;"",8,0)+IF($G76&lt;&gt;"",4,0)+IF($H76&lt;&gt;"",4,0)+IF($I76&lt;&gt;"",4,0)+IF($J76&lt;&gt;"",4,0)+IF($K76&lt;&gt;"",4,0)+IF($L76&lt;&gt;"",10,0)+IF($M76&lt;&gt;"",20,0)+IF($N76&lt;&gt;"",7,0)+IF($O76&lt;&gt;"",4,0)+IF($P76&lt;&gt;"",4,0)+IF($Q76&lt;&gt;"",4,0)</f>
        <v/>
      </c>
      <c r="T76">
        <f>IF($S76&gt;=70,"High",IF($S76&gt;=40,"Medium","Low"))</f>
        <v/>
      </c>
    </row>
    <row r="77">
      <c r="S77">
        <f>IF(LEN($D77)&gt;=17,15,IF($D77&lt;&gt;"",8,0))+IF($E77&lt;&gt;"",8,0)+IF($F77&lt;&gt;"",8,0)+IF($G77&lt;&gt;"",4,0)+IF($H77&lt;&gt;"",4,0)+IF($I77&lt;&gt;"",4,0)+IF($J77&lt;&gt;"",4,0)+IF($K77&lt;&gt;"",4,0)+IF($L77&lt;&gt;"",10,0)+IF($M77&lt;&gt;"",20,0)+IF($N77&lt;&gt;"",7,0)+IF($O77&lt;&gt;"",4,0)+IF($P77&lt;&gt;"",4,0)+IF($Q77&lt;&gt;"",4,0)</f>
        <v/>
      </c>
      <c r="T77">
        <f>IF($S77&gt;=70,"High",IF($S77&gt;=40,"Medium","Low"))</f>
        <v/>
      </c>
    </row>
    <row r="78">
      <c r="S78">
        <f>IF(LEN($D78)&gt;=17,15,IF($D78&lt;&gt;"",8,0))+IF($E78&lt;&gt;"",8,0)+IF($F78&lt;&gt;"",8,0)+IF($G78&lt;&gt;"",4,0)+IF($H78&lt;&gt;"",4,0)+IF($I78&lt;&gt;"",4,0)+IF($J78&lt;&gt;"",4,0)+IF($K78&lt;&gt;"",4,0)+IF($L78&lt;&gt;"",10,0)+IF($M78&lt;&gt;"",20,0)+IF($N78&lt;&gt;"",7,0)+IF($O78&lt;&gt;"",4,0)+IF($P78&lt;&gt;"",4,0)+IF($Q78&lt;&gt;"",4,0)</f>
        <v/>
      </c>
      <c r="T78">
        <f>IF($S78&gt;=70,"High",IF($S78&gt;=40,"Medium","Low"))</f>
        <v/>
      </c>
    </row>
    <row r="79">
      <c r="S79">
        <f>IF(LEN($D79)&gt;=17,15,IF($D79&lt;&gt;"",8,0))+IF($E79&lt;&gt;"",8,0)+IF($F79&lt;&gt;"",8,0)+IF($G79&lt;&gt;"",4,0)+IF($H79&lt;&gt;"",4,0)+IF($I79&lt;&gt;"",4,0)+IF($J79&lt;&gt;"",4,0)+IF($K79&lt;&gt;"",4,0)+IF($L79&lt;&gt;"",10,0)+IF($M79&lt;&gt;"",20,0)+IF($N79&lt;&gt;"",7,0)+IF($O79&lt;&gt;"",4,0)+IF($P79&lt;&gt;"",4,0)+IF($Q79&lt;&gt;"",4,0)</f>
        <v/>
      </c>
      <c r="T79">
        <f>IF($S79&gt;=70,"High",IF($S79&gt;=40,"Medium","Low"))</f>
        <v/>
      </c>
    </row>
    <row r="80">
      <c r="S80">
        <f>IF(LEN($D80)&gt;=17,15,IF($D80&lt;&gt;"",8,0))+IF($E80&lt;&gt;"",8,0)+IF($F80&lt;&gt;"",8,0)+IF($G80&lt;&gt;"",4,0)+IF($H80&lt;&gt;"",4,0)+IF($I80&lt;&gt;"",4,0)+IF($J80&lt;&gt;"",4,0)+IF($K80&lt;&gt;"",4,0)+IF($L80&lt;&gt;"",10,0)+IF($M80&lt;&gt;"",20,0)+IF($N80&lt;&gt;"",7,0)+IF($O80&lt;&gt;"",4,0)+IF($P80&lt;&gt;"",4,0)+IF($Q80&lt;&gt;"",4,0)</f>
        <v/>
      </c>
      <c r="T80">
        <f>IF($S80&gt;=70,"High",IF($S80&gt;=40,"Medium","Low"))</f>
        <v/>
      </c>
    </row>
    <row r="81">
      <c r="S81">
        <f>IF(LEN($D81)&gt;=17,15,IF($D81&lt;&gt;"",8,0))+IF($E81&lt;&gt;"",8,0)+IF($F81&lt;&gt;"",8,0)+IF($G81&lt;&gt;"",4,0)+IF($H81&lt;&gt;"",4,0)+IF($I81&lt;&gt;"",4,0)+IF($J81&lt;&gt;"",4,0)+IF($K81&lt;&gt;"",4,0)+IF($L81&lt;&gt;"",10,0)+IF($M81&lt;&gt;"",20,0)+IF($N81&lt;&gt;"",7,0)+IF($O81&lt;&gt;"",4,0)+IF($P81&lt;&gt;"",4,0)+IF($Q81&lt;&gt;"",4,0)</f>
        <v/>
      </c>
      <c r="T81">
        <f>IF($S81&gt;=70,"High",IF($S81&gt;=40,"Medium","Low"))</f>
        <v/>
      </c>
    </row>
    <row r="82">
      <c r="S82">
        <f>IF(LEN($D82)&gt;=17,15,IF($D82&lt;&gt;"",8,0))+IF($E82&lt;&gt;"",8,0)+IF($F82&lt;&gt;"",8,0)+IF($G82&lt;&gt;"",4,0)+IF($H82&lt;&gt;"",4,0)+IF($I82&lt;&gt;"",4,0)+IF($J82&lt;&gt;"",4,0)+IF($K82&lt;&gt;"",4,0)+IF($L82&lt;&gt;"",10,0)+IF($M82&lt;&gt;"",20,0)+IF($N82&lt;&gt;"",7,0)+IF($O82&lt;&gt;"",4,0)+IF($P82&lt;&gt;"",4,0)+IF($Q82&lt;&gt;"",4,0)</f>
        <v/>
      </c>
      <c r="T82">
        <f>IF($S82&gt;=70,"High",IF($S82&gt;=40,"Medium","Low"))</f>
        <v/>
      </c>
    </row>
    <row r="83">
      <c r="S83">
        <f>IF(LEN($D83)&gt;=17,15,IF($D83&lt;&gt;"",8,0))+IF($E83&lt;&gt;"",8,0)+IF($F83&lt;&gt;"",8,0)+IF($G83&lt;&gt;"",4,0)+IF($H83&lt;&gt;"",4,0)+IF($I83&lt;&gt;"",4,0)+IF($J83&lt;&gt;"",4,0)+IF($K83&lt;&gt;"",4,0)+IF($L83&lt;&gt;"",10,0)+IF($M83&lt;&gt;"",20,0)+IF($N83&lt;&gt;"",7,0)+IF($O83&lt;&gt;"",4,0)+IF($P83&lt;&gt;"",4,0)+IF($Q83&lt;&gt;"",4,0)</f>
        <v/>
      </c>
      <c r="T83">
        <f>IF($S83&gt;=70,"High",IF($S83&gt;=40,"Medium","Low"))</f>
        <v/>
      </c>
    </row>
    <row r="84">
      <c r="S84">
        <f>IF(LEN($D84)&gt;=17,15,IF($D84&lt;&gt;"",8,0))+IF($E84&lt;&gt;"",8,0)+IF($F84&lt;&gt;"",8,0)+IF($G84&lt;&gt;"",4,0)+IF($H84&lt;&gt;"",4,0)+IF($I84&lt;&gt;"",4,0)+IF($J84&lt;&gt;"",4,0)+IF($K84&lt;&gt;"",4,0)+IF($L84&lt;&gt;"",10,0)+IF($M84&lt;&gt;"",20,0)+IF($N84&lt;&gt;"",7,0)+IF($O84&lt;&gt;"",4,0)+IF($P84&lt;&gt;"",4,0)+IF($Q84&lt;&gt;"",4,0)</f>
        <v/>
      </c>
      <c r="T84">
        <f>IF($S84&gt;=70,"High",IF($S84&gt;=40,"Medium","Low"))</f>
        <v/>
      </c>
    </row>
    <row r="85">
      <c r="S85">
        <f>IF(LEN($D85)&gt;=17,15,IF($D85&lt;&gt;"",8,0))+IF($E85&lt;&gt;"",8,0)+IF($F85&lt;&gt;"",8,0)+IF($G85&lt;&gt;"",4,0)+IF($H85&lt;&gt;"",4,0)+IF($I85&lt;&gt;"",4,0)+IF($J85&lt;&gt;"",4,0)+IF($K85&lt;&gt;"",4,0)+IF($L85&lt;&gt;"",10,0)+IF($M85&lt;&gt;"",20,0)+IF($N85&lt;&gt;"",7,0)+IF($O85&lt;&gt;"",4,0)+IF($P85&lt;&gt;"",4,0)+IF($Q85&lt;&gt;"",4,0)</f>
        <v/>
      </c>
      <c r="T85">
        <f>IF($S85&gt;=70,"High",IF($S85&gt;=40,"Medium","Low"))</f>
        <v/>
      </c>
    </row>
    <row r="86">
      <c r="S86">
        <f>IF(LEN($D86)&gt;=17,15,IF($D86&lt;&gt;"",8,0))+IF($E86&lt;&gt;"",8,0)+IF($F86&lt;&gt;"",8,0)+IF($G86&lt;&gt;"",4,0)+IF($H86&lt;&gt;"",4,0)+IF($I86&lt;&gt;"",4,0)+IF($J86&lt;&gt;"",4,0)+IF($K86&lt;&gt;"",4,0)+IF($L86&lt;&gt;"",10,0)+IF($M86&lt;&gt;"",20,0)+IF($N86&lt;&gt;"",7,0)+IF($O86&lt;&gt;"",4,0)+IF($P86&lt;&gt;"",4,0)+IF($Q86&lt;&gt;"",4,0)</f>
        <v/>
      </c>
      <c r="T86">
        <f>IF($S86&gt;=70,"High",IF($S86&gt;=40,"Medium","Low"))</f>
        <v/>
      </c>
    </row>
    <row r="87">
      <c r="S87">
        <f>IF(LEN($D87)&gt;=17,15,IF($D87&lt;&gt;"",8,0))+IF($E87&lt;&gt;"",8,0)+IF($F87&lt;&gt;"",8,0)+IF($G87&lt;&gt;"",4,0)+IF($H87&lt;&gt;"",4,0)+IF($I87&lt;&gt;"",4,0)+IF($J87&lt;&gt;"",4,0)+IF($K87&lt;&gt;"",4,0)+IF($L87&lt;&gt;"",10,0)+IF($M87&lt;&gt;"",20,0)+IF($N87&lt;&gt;"",7,0)+IF($O87&lt;&gt;"",4,0)+IF($P87&lt;&gt;"",4,0)+IF($Q87&lt;&gt;"",4,0)</f>
        <v/>
      </c>
      <c r="T87">
        <f>IF($S87&gt;=70,"High",IF($S87&gt;=40,"Medium","Low"))</f>
        <v/>
      </c>
    </row>
    <row r="88">
      <c r="S88">
        <f>IF(LEN($D88)&gt;=17,15,IF($D88&lt;&gt;"",8,0))+IF($E88&lt;&gt;"",8,0)+IF($F88&lt;&gt;"",8,0)+IF($G88&lt;&gt;"",4,0)+IF($H88&lt;&gt;"",4,0)+IF($I88&lt;&gt;"",4,0)+IF($J88&lt;&gt;"",4,0)+IF($K88&lt;&gt;"",4,0)+IF($L88&lt;&gt;"",10,0)+IF($M88&lt;&gt;"",20,0)+IF($N88&lt;&gt;"",7,0)+IF($O88&lt;&gt;"",4,0)+IF($P88&lt;&gt;"",4,0)+IF($Q88&lt;&gt;"",4,0)</f>
        <v/>
      </c>
      <c r="T88">
        <f>IF($S88&gt;=70,"High",IF($S88&gt;=40,"Medium","Low"))</f>
        <v/>
      </c>
    </row>
    <row r="89">
      <c r="S89">
        <f>IF(LEN($D89)&gt;=17,15,IF($D89&lt;&gt;"",8,0))+IF($E89&lt;&gt;"",8,0)+IF($F89&lt;&gt;"",8,0)+IF($G89&lt;&gt;"",4,0)+IF($H89&lt;&gt;"",4,0)+IF($I89&lt;&gt;"",4,0)+IF($J89&lt;&gt;"",4,0)+IF($K89&lt;&gt;"",4,0)+IF($L89&lt;&gt;"",10,0)+IF($M89&lt;&gt;"",20,0)+IF($N89&lt;&gt;"",7,0)+IF($O89&lt;&gt;"",4,0)+IF($P89&lt;&gt;"",4,0)+IF($Q89&lt;&gt;"",4,0)</f>
        <v/>
      </c>
      <c r="T89">
        <f>IF($S89&gt;=70,"High",IF($S89&gt;=40,"Medium","Low"))</f>
        <v/>
      </c>
    </row>
    <row r="90">
      <c r="S90">
        <f>IF(LEN($D90)&gt;=17,15,IF($D90&lt;&gt;"",8,0))+IF($E90&lt;&gt;"",8,0)+IF($F90&lt;&gt;"",8,0)+IF($G90&lt;&gt;"",4,0)+IF($H90&lt;&gt;"",4,0)+IF($I90&lt;&gt;"",4,0)+IF($J90&lt;&gt;"",4,0)+IF($K90&lt;&gt;"",4,0)+IF($L90&lt;&gt;"",10,0)+IF($M90&lt;&gt;"",20,0)+IF($N90&lt;&gt;"",7,0)+IF($O90&lt;&gt;"",4,0)+IF($P90&lt;&gt;"",4,0)+IF($Q90&lt;&gt;"",4,0)</f>
        <v/>
      </c>
      <c r="T90">
        <f>IF($S90&gt;=70,"High",IF($S90&gt;=40,"Medium","Low"))</f>
        <v/>
      </c>
    </row>
    <row r="91">
      <c r="S91">
        <f>IF(LEN($D91)&gt;=17,15,IF($D91&lt;&gt;"",8,0))+IF($E91&lt;&gt;"",8,0)+IF($F91&lt;&gt;"",8,0)+IF($G91&lt;&gt;"",4,0)+IF($H91&lt;&gt;"",4,0)+IF($I91&lt;&gt;"",4,0)+IF($J91&lt;&gt;"",4,0)+IF($K91&lt;&gt;"",4,0)+IF($L91&lt;&gt;"",10,0)+IF($M91&lt;&gt;"",20,0)+IF($N91&lt;&gt;"",7,0)+IF($O91&lt;&gt;"",4,0)+IF($P91&lt;&gt;"",4,0)+IF($Q91&lt;&gt;"",4,0)</f>
        <v/>
      </c>
      <c r="T91">
        <f>IF($S91&gt;=70,"High",IF($S91&gt;=40,"Medium","Low"))</f>
        <v/>
      </c>
    </row>
    <row r="92">
      <c r="S92">
        <f>IF(LEN($D92)&gt;=17,15,IF($D92&lt;&gt;"",8,0))+IF($E92&lt;&gt;"",8,0)+IF($F92&lt;&gt;"",8,0)+IF($G92&lt;&gt;"",4,0)+IF($H92&lt;&gt;"",4,0)+IF($I92&lt;&gt;"",4,0)+IF($J92&lt;&gt;"",4,0)+IF($K92&lt;&gt;"",4,0)+IF($L92&lt;&gt;"",10,0)+IF($M92&lt;&gt;"",20,0)+IF($N92&lt;&gt;"",7,0)+IF($O92&lt;&gt;"",4,0)+IF($P92&lt;&gt;"",4,0)+IF($Q92&lt;&gt;"",4,0)</f>
        <v/>
      </c>
      <c r="T92">
        <f>IF($S92&gt;=70,"High",IF($S92&gt;=40,"Medium","Low"))</f>
        <v/>
      </c>
    </row>
    <row r="93">
      <c r="S93">
        <f>IF(LEN($D93)&gt;=17,15,IF($D93&lt;&gt;"",8,0))+IF($E93&lt;&gt;"",8,0)+IF($F93&lt;&gt;"",8,0)+IF($G93&lt;&gt;"",4,0)+IF($H93&lt;&gt;"",4,0)+IF($I93&lt;&gt;"",4,0)+IF($J93&lt;&gt;"",4,0)+IF($K93&lt;&gt;"",4,0)+IF($L93&lt;&gt;"",10,0)+IF($M93&lt;&gt;"",20,0)+IF($N93&lt;&gt;"",7,0)+IF($O93&lt;&gt;"",4,0)+IF($P93&lt;&gt;"",4,0)+IF($Q93&lt;&gt;"",4,0)</f>
        <v/>
      </c>
      <c r="T93">
        <f>IF($S93&gt;=70,"High",IF($S93&gt;=40,"Medium","Low"))</f>
        <v/>
      </c>
    </row>
    <row r="94">
      <c r="S94">
        <f>IF(LEN($D94)&gt;=17,15,IF($D94&lt;&gt;"",8,0))+IF($E94&lt;&gt;"",8,0)+IF($F94&lt;&gt;"",8,0)+IF($G94&lt;&gt;"",4,0)+IF($H94&lt;&gt;"",4,0)+IF($I94&lt;&gt;"",4,0)+IF($J94&lt;&gt;"",4,0)+IF($K94&lt;&gt;"",4,0)+IF($L94&lt;&gt;"",10,0)+IF($M94&lt;&gt;"",20,0)+IF($N94&lt;&gt;"",7,0)+IF($O94&lt;&gt;"",4,0)+IF($P94&lt;&gt;"",4,0)+IF($Q94&lt;&gt;"",4,0)</f>
        <v/>
      </c>
      <c r="T94">
        <f>IF($S94&gt;=70,"High",IF($S94&gt;=40,"Medium","Low"))</f>
        <v/>
      </c>
    </row>
    <row r="95">
      <c r="S95">
        <f>IF(LEN($D95)&gt;=17,15,IF($D95&lt;&gt;"",8,0))+IF($E95&lt;&gt;"",8,0)+IF($F95&lt;&gt;"",8,0)+IF($G95&lt;&gt;"",4,0)+IF($H95&lt;&gt;"",4,0)+IF($I95&lt;&gt;"",4,0)+IF($J95&lt;&gt;"",4,0)+IF($K95&lt;&gt;"",4,0)+IF($L95&lt;&gt;"",10,0)+IF($M95&lt;&gt;"",20,0)+IF($N95&lt;&gt;"",7,0)+IF($O95&lt;&gt;"",4,0)+IF($P95&lt;&gt;"",4,0)+IF($Q95&lt;&gt;"",4,0)</f>
        <v/>
      </c>
      <c r="T95">
        <f>IF($S95&gt;=70,"High",IF($S95&gt;=40,"Medium","Low"))</f>
        <v/>
      </c>
    </row>
    <row r="96">
      <c r="S96">
        <f>IF(LEN($D96)&gt;=17,15,IF($D96&lt;&gt;"",8,0))+IF($E96&lt;&gt;"",8,0)+IF($F96&lt;&gt;"",8,0)+IF($G96&lt;&gt;"",4,0)+IF($H96&lt;&gt;"",4,0)+IF($I96&lt;&gt;"",4,0)+IF($J96&lt;&gt;"",4,0)+IF($K96&lt;&gt;"",4,0)+IF($L96&lt;&gt;"",10,0)+IF($M96&lt;&gt;"",20,0)+IF($N96&lt;&gt;"",7,0)+IF($O96&lt;&gt;"",4,0)+IF($P96&lt;&gt;"",4,0)+IF($Q96&lt;&gt;"",4,0)</f>
        <v/>
      </c>
      <c r="T96">
        <f>IF($S96&gt;=70,"High",IF($S96&gt;=40,"Medium","Low"))</f>
        <v/>
      </c>
    </row>
    <row r="97">
      <c r="S97">
        <f>IF(LEN($D97)&gt;=17,15,IF($D97&lt;&gt;"",8,0))+IF($E97&lt;&gt;"",8,0)+IF($F97&lt;&gt;"",8,0)+IF($G97&lt;&gt;"",4,0)+IF($H97&lt;&gt;"",4,0)+IF($I97&lt;&gt;"",4,0)+IF($J97&lt;&gt;"",4,0)+IF($K97&lt;&gt;"",4,0)+IF($L97&lt;&gt;"",10,0)+IF($M97&lt;&gt;"",20,0)+IF($N97&lt;&gt;"",7,0)+IF($O97&lt;&gt;"",4,0)+IF($P97&lt;&gt;"",4,0)+IF($Q97&lt;&gt;"",4,0)</f>
        <v/>
      </c>
      <c r="T97">
        <f>IF($S97&gt;=70,"High",IF($S97&gt;=40,"Medium","Low"))</f>
        <v/>
      </c>
    </row>
    <row r="98">
      <c r="S98">
        <f>IF(LEN($D98)&gt;=17,15,IF($D98&lt;&gt;"",8,0))+IF($E98&lt;&gt;"",8,0)+IF($F98&lt;&gt;"",8,0)+IF($G98&lt;&gt;"",4,0)+IF($H98&lt;&gt;"",4,0)+IF($I98&lt;&gt;"",4,0)+IF($J98&lt;&gt;"",4,0)+IF($K98&lt;&gt;"",4,0)+IF($L98&lt;&gt;"",10,0)+IF($M98&lt;&gt;"",20,0)+IF($N98&lt;&gt;"",7,0)+IF($O98&lt;&gt;"",4,0)+IF($P98&lt;&gt;"",4,0)+IF($Q98&lt;&gt;"",4,0)</f>
        <v/>
      </c>
      <c r="T98">
        <f>IF($S98&gt;=70,"High",IF($S98&gt;=40,"Medium","Low"))</f>
        <v/>
      </c>
    </row>
    <row r="99">
      <c r="S99">
        <f>IF(LEN($D99)&gt;=17,15,IF($D99&lt;&gt;"",8,0))+IF($E99&lt;&gt;"",8,0)+IF($F99&lt;&gt;"",8,0)+IF($G99&lt;&gt;"",4,0)+IF($H99&lt;&gt;"",4,0)+IF($I99&lt;&gt;"",4,0)+IF($J99&lt;&gt;"",4,0)+IF($K99&lt;&gt;"",4,0)+IF($L99&lt;&gt;"",10,0)+IF($M99&lt;&gt;"",20,0)+IF($N99&lt;&gt;"",7,0)+IF($O99&lt;&gt;"",4,0)+IF($P99&lt;&gt;"",4,0)+IF($Q99&lt;&gt;"",4,0)</f>
        <v/>
      </c>
      <c r="T99">
        <f>IF($S99&gt;=70,"High",IF($S99&gt;=40,"Medium","Low"))</f>
        <v/>
      </c>
    </row>
    <row r="100">
      <c r="S100">
        <f>IF(LEN($D100)&gt;=17,15,IF($D100&lt;&gt;"",8,0))+IF($E100&lt;&gt;"",8,0)+IF($F100&lt;&gt;"",8,0)+IF($G100&lt;&gt;"",4,0)+IF($H100&lt;&gt;"",4,0)+IF($I100&lt;&gt;"",4,0)+IF($J100&lt;&gt;"",4,0)+IF($K100&lt;&gt;"",4,0)+IF($L100&lt;&gt;"",10,0)+IF($M100&lt;&gt;"",20,0)+IF($N100&lt;&gt;"",7,0)+IF($O100&lt;&gt;"",4,0)+IF($P100&lt;&gt;"",4,0)+IF($Q100&lt;&gt;"",4,0)</f>
        <v/>
      </c>
      <c r="T100">
        <f>IF($S100&gt;=70,"High",IF($S100&gt;=40,"Medium","Low"))</f>
        <v/>
      </c>
    </row>
    <row r="101">
      <c r="S101">
        <f>IF(LEN($D101)&gt;=17,15,IF($D101&lt;&gt;"",8,0))+IF($E101&lt;&gt;"",8,0)+IF($F101&lt;&gt;"",8,0)+IF($G101&lt;&gt;"",4,0)+IF($H101&lt;&gt;"",4,0)+IF($I101&lt;&gt;"",4,0)+IF($J101&lt;&gt;"",4,0)+IF($K101&lt;&gt;"",4,0)+IF($L101&lt;&gt;"",10,0)+IF($M101&lt;&gt;"",20,0)+IF($N101&lt;&gt;"",7,0)+IF($O101&lt;&gt;"",4,0)+IF($P101&lt;&gt;"",4,0)+IF($Q101&lt;&gt;"",4,0)</f>
        <v/>
      </c>
      <c r="T101">
        <f>IF($S101&gt;=70,"High",IF($S101&gt;=40,"Medium","Low"))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Kategori</t>
        </is>
      </c>
      <c r="B1" s="2" t="inlineStr">
        <is>
          <t>Antal</t>
        </is>
      </c>
    </row>
    <row r="2">
      <c r="A2" t="inlineStr">
        <is>
          <t>High</t>
        </is>
      </c>
      <c r="B2">
        <f>COUNTIF(ScoreCalc!$T$2:$T$1000,"High")</f>
        <v/>
      </c>
    </row>
    <row r="3">
      <c r="A3" t="inlineStr">
        <is>
          <t>Medium</t>
        </is>
      </c>
      <c r="B3">
        <f>COUNTIF(ScoreCalc!$T$2:$T$1000,"Medium")</f>
        <v/>
      </c>
    </row>
    <row r="4">
      <c r="A4" t="inlineStr">
        <is>
          <t>Low</t>
        </is>
      </c>
      <c r="B4">
        <f>COUNTIF(ScoreCalc!$T$2:$T$1000,"Low")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2025-11-27T00:53:41Z</dcterms:created>
  <dcterms:modified xmlns:dcterms="http://purl.org/dc/terms/" xmlns:xsi="http://www.w3.org/2001/XMLSchema-instance" xsi:type="dcterms:W3CDTF">2025-11-27T23:15:00Z</dcterms:modified>
</cp:coreProperties>
</file>